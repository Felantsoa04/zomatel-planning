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ana\Desktop\11\"/>
    </mc:Choice>
  </mc:AlternateContent>
  <xr:revisionPtr revIDLastSave="0" documentId="13_ncr:1_{13E4F08F-CF76-4BD7-B859-4F034A7B3547}" xr6:coauthVersionLast="47" xr6:coauthVersionMax="47" xr10:uidLastSave="{00000000-0000-0000-0000-000000000000}"/>
  <bookViews>
    <workbookView xWindow="-120" yWindow="-120" windowWidth="20730" windowHeight="11160" firstSheet="17" activeTab="18" xr2:uid="{00000000-000D-0000-FFFF-FFFF00000000}"/>
  </bookViews>
  <sheets>
    <sheet name="CUISINE SNACK" sheetId="3" r:id="rId1"/>
    <sheet name="SALLE SNACK" sheetId="45" r:id="rId2"/>
    <sheet name="PATISS-PIZZA" sheetId="13" r:id="rId3"/>
    <sheet name="CUISINE CANTINE" sheetId="33" r:id="rId4"/>
    <sheet name="CUISINE DETENTE" sheetId="32" r:id="rId5"/>
    <sheet name="SALLE DETENTE" sheetId="42" r:id="rId6"/>
    <sheet name="CUISINE RESTO" sheetId="38" r:id="rId7"/>
    <sheet name="PLONGE" sheetId="18" r:id="rId8"/>
    <sheet name="SALLE RESTO" sheetId="47" r:id="rId9"/>
    <sheet name="STOCKISTE" sheetId="17" r:id="rId10"/>
    <sheet name="RESPONSABLE ESPACE COMMUN" sheetId="27" r:id="rId11"/>
    <sheet name="COMMUNICATION-MAJ" sheetId="41" r:id="rId12"/>
    <sheet name="RECEPTION" sheetId="20" r:id="rId13"/>
    <sheet name="GOUVERNANTE" sheetId="22" r:id="rId14"/>
    <sheet name="PISCINE" sheetId="21" r:id="rId15"/>
    <sheet name="SERVICE ETAGE" sheetId="24" r:id="rId16"/>
    <sheet name="LESSIVEUSE" sheetId="23" r:id="rId17"/>
    <sheet name="MARCHE ET NETTOYAGE CANTINE" sheetId="28" r:id="rId18"/>
    <sheet name="NETTOYEUR" sheetId="30" r:id="rId19"/>
    <sheet name="JARDINIER" sheetId="39" r:id="rId20"/>
    <sheet name="CHAUFFEUR" sheetId="25" r:id="rId21"/>
    <sheet name="MAINTENANCE" sheetId="26" r:id="rId22"/>
    <sheet name="SECURITE" sheetId="31" r:id="rId23"/>
    <sheet name="ADMINISTRATION" sheetId="14" r:id="rId24"/>
    <sheet name="Feuille25" sheetId="48" r:id="rId25"/>
  </sheets>
  <externalReferences>
    <externalReference r:id="rId26"/>
  </externalReferences>
  <definedNames>
    <definedName name="_xlnm._FilterDatabase" localSheetId="7" hidden="1">PLONGE!$B$6:$L$14</definedName>
    <definedName name="_xlnm._FilterDatabase" localSheetId="5" hidden="1">'SALLE DETENTE'!$B$6:$L$14</definedName>
    <definedName name="_xlnm.Print_Area" localSheetId="23">ADMINISTRATION!$B$4:$L$94</definedName>
    <definedName name="_xlnm.Print_Area" localSheetId="20">CHAUFFEUR!$B$4:$L$60</definedName>
    <definedName name="_xlnm.Print_Area" localSheetId="11">'COMMUNICATION-MAJ'!$B$4:$L$60</definedName>
    <definedName name="_xlnm.Print_Area" localSheetId="13">GOUVERNANTE!$B$4:$L$60</definedName>
    <definedName name="_xlnm.Print_Area" localSheetId="19">JARDINIER!$B$4:$L$53</definedName>
    <definedName name="_xlnm.Print_Area" localSheetId="16">LESSIVEUSE!$A$1:$M$74</definedName>
    <definedName name="_xlnm.Print_Area" localSheetId="21">MAINTENANCE!$B$4:$L$67</definedName>
    <definedName name="_xlnm.Print_Area" localSheetId="17">'MARCHE ET NETTOYAGE CANTINE'!$B$4:$L$50</definedName>
    <definedName name="_xlnm.Print_Area" localSheetId="18">NETTOYEUR!$B$4:$L$66</definedName>
    <definedName name="_xlnm.Print_Area" localSheetId="14">PISCINE!$B$4:$L$60</definedName>
    <definedName name="_xlnm.Print_Area" localSheetId="12">RECEPTION!$B$4:$L$116</definedName>
    <definedName name="_xlnm.Print_Area" localSheetId="10">'RESPONSABLE ESPACE COMMUN'!$B$4:$L$45</definedName>
    <definedName name="_xlnm.Print_Area" localSheetId="22">SECURITE!$B$21:$L$123</definedName>
    <definedName name="_xlnm.Print_Area" localSheetId="15">'SERVICE ETAGE'!$A$1:$M$124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0" i="31" l="1"/>
  <c r="H110" i="31"/>
  <c r="E110" i="31"/>
  <c r="L110" i="31" s="1"/>
  <c r="K118" i="31"/>
  <c r="H118" i="31"/>
  <c r="E118" i="31"/>
  <c r="L118" i="31" s="1"/>
  <c r="K116" i="31"/>
  <c r="H116" i="31"/>
  <c r="E116" i="31"/>
  <c r="L116" i="31" s="1"/>
  <c r="K113" i="31"/>
  <c r="H113" i="31"/>
  <c r="E113" i="31"/>
  <c r="L113" i="31" s="1"/>
  <c r="K119" i="31"/>
  <c r="H119" i="31"/>
  <c r="E119" i="31"/>
  <c r="L119" i="31" s="1"/>
  <c r="K114" i="31"/>
  <c r="H114" i="31"/>
  <c r="E114" i="31"/>
  <c r="L114" i="31" s="1"/>
  <c r="K112" i="31"/>
  <c r="H112" i="31"/>
  <c r="L112" i="31" s="1"/>
  <c r="E112" i="31"/>
  <c r="K111" i="31"/>
  <c r="H111" i="31"/>
  <c r="E111" i="31"/>
  <c r="L111" i="31" s="1"/>
  <c r="K121" i="31"/>
  <c r="H121" i="31"/>
  <c r="E121" i="31"/>
  <c r="L121" i="31" s="1"/>
  <c r="K120" i="31"/>
  <c r="H120" i="31"/>
  <c r="E120" i="31"/>
  <c r="L120" i="31" s="1"/>
  <c r="K117" i="31"/>
  <c r="H117" i="31"/>
  <c r="E117" i="31"/>
  <c r="L117" i="31" s="1"/>
  <c r="K115" i="31"/>
  <c r="H115" i="31"/>
  <c r="E115" i="31"/>
  <c r="L115" i="31" s="1"/>
  <c r="K104" i="31"/>
  <c r="H104" i="31"/>
  <c r="L104" i="31" s="1"/>
  <c r="E104" i="31"/>
  <c r="K103" i="31"/>
  <c r="H103" i="31"/>
  <c r="E103" i="31"/>
  <c r="L103" i="31" s="1"/>
  <c r="K100" i="31"/>
  <c r="K105" i="31" s="1"/>
  <c r="H100" i="31"/>
  <c r="E100" i="31"/>
  <c r="E105" i="31" s="1"/>
  <c r="K98" i="31"/>
  <c r="H98" i="31"/>
  <c r="L98" i="31" s="1"/>
  <c r="E98" i="31"/>
  <c r="K101" i="31"/>
  <c r="H101" i="31"/>
  <c r="E101" i="31"/>
  <c r="L101" i="31" s="1"/>
  <c r="K99" i="31"/>
  <c r="H99" i="31"/>
  <c r="L99" i="31" s="1"/>
  <c r="E99" i="31"/>
  <c r="K93" i="31"/>
  <c r="H93" i="31"/>
  <c r="E93" i="31"/>
  <c r="L93" i="31" s="1"/>
  <c r="K96" i="31"/>
  <c r="H96" i="31"/>
  <c r="E96" i="31"/>
  <c r="L96" i="31" s="1"/>
  <c r="K102" i="31"/>
  <c r="H102" i="31"/>
  <c r="E102" i="31"/>
  <c r="L102" i="31" s="1"/>
  <c r="K97" i="31"/>
  <c r="H97" i="31"/>
  <c r="E97" i="31"/>
  <c r="L97" i="31" s="1"/>
  <c r="K95" i="31"/>
  <c r="H95" i="31"/>
  <c r="E95" i="31"/>
  <c r="L95" i="31" s="1"/>
  <c r="K94" i="31"/>
  <c r="H94" i="31"/>
  <c r="E94" i="31"/>
  <c r="L94" i="31" s="1"/>
  <c r="K78" i="31"/>
  <c r="H78" i="31"/>
  <c r="E78" i="31"/>
  <c r="L78" i="31" s="1"/>
  <c r="K80" i="31"/>
  <c r="H80" i="31"/>
  <c r="L80" i="31" s="1"/>
  <c r="E80" i="31"/>
  <c r="K85" i="31"/>
  <c r="H85" i="31"/>
  <c r="E85" i="31"/>
  <c r="L85" i="31" s="1"/>
  <c r="K77" i="31"/>
  <c r="H77" i="31"/>
  <c r="E77" i="31"/>
  <c r="L77" i="31" s="1"/>
  <c r="K83" i="31"/>
  <c r="H83" i="31"/>
  <c r="E83" i="31"/>
  <c r="L83" i="31" s="1"/>
  <c r="K81" i="31"/>
  <c r="H81" i="31"/>
  <c r="L81" i="31" s="1"/>
  <c r="E81" i="31"/>
  <c r="K87" i="31"/>
  <c r="H87" i="31"/>
  <c r="E87" i="31"/>
  <c r="L87" i="31" s="1"/>
  <c r="K86" i="31"/>
  <c r="H86" i="31"/>
  <c r="L86" i="31" s="1"/>
  <c r="E86" i="31"/>
  <c r="K84" i="31"/>
  <c r="H84" i="31"/>
  <c r="L84" i="31" s="1"/>
  <c r="E84" i="31"/>
  <c r="K82" i="31"/>
  <c r="H82" i="31"/>
  <c r="E82" i="31"/>
  <c r="L82" i="31" s="1"/>
  <c r="K76" i="31"/>
  <c r="H76" i="31"/>
  <c r="E76" i="31"/>
  <c r="L76" i="31" s="1"/>
  <c r="K79" i="31"/>
  <c r="H79" i="31"/>
  <c r="L79" i="31" s="1"/>
  <c r="E79" i="31"/>
  <c r="K67" i="31"/>
  <c r="H67" i="31"/>
  <c r="L67" i="31" s="1"/>
  <c r="E67" i="31"/>
  <c r="K65" i="31"/>
  <c r="H65" i="31"/>
  <c r="E65" i="31"/>
  <c r="L65" i="31" s="1"/>
  <c r="K59" i="31"/>
  <c r="H59" i="31"/>
  <c r="E59" i="31"/>
  <c r="L59" i="31" s="1"/>
  <c r="K62" i="31"/>
  <c r="H62" i="31"/>
  <c r="E62" i="31"/>
  <c r="L62" i="31" s="1"/>
  <c r="K61" i="31"/>
  <c r="H61" i="31"/>
  <c r="E61" i="31"/>
  <c r="L61" i="31" s="1"/>
  <c r="K63" i="31"/>
  <c r="H63" i="31"/>
  <c r="E63" i="31"/>
  <c r="L63" i="31" s="1"/>
  <c r="K68" i="31"/>
  <c r="H68" i="31"/>
  <c r="E68" i="31"/>
  <c r="L68" i="31" s="1"/>
  <c r="K60" i="31"/>
  <c r="H60" i="31"/>
  <c r="E60" i="31"/>
  <c r="L60" i="31" s="1"/>
  <c r="K64" i="31"/>
  <c r="H64" i="31"/>
  <c r="E64" i="31"/>
  <c r="L64" i="31" s="1"/>
  <c r="K66" i="31"/>
  <c r="H66" i="31"/>
  <c r="E66" i="31"/>
  <c r="L66" i="31" s="1"/>
  <c r="K70" i="31"/>
  <c r="H70" i="31"/>
  <c r="E70" i="31"/>
  <c r="L70" i="31" s="1"/>
  <c r="K69" i="31"/>
  <c r="H69" i="31"/>
  <c r="E69" i="31"/>
  <c r="L69" i="31" s="1"/>
  <c r="K53" i="31"/>
  <c r="H53" i="31"/>
  <c r="E53" i="31"/>
  <c r="L53" i="31" s="1"/>
  <c r="K52" i="31"/>
  <c r="H52" i="31"/>
  <c r="E52" i="31"/>
  <c r="L52" i="31" s="1"/>
  <c r="K49" i="31"/>
  <c r="H49" i="31"/>
  <c r="E49" i="31"/>
  <c r="L49" i="31" s="1"/>
  <c r="K47" i="31"/>
  <c r="H47" i="31"/>
  <c r="E47" i="31"/>
  <c r="L47" i="31" s="1"/>
  <c r="K42" i="31"/>
  <c r="H42" i="31"/>
  <c r="E42" i="31"/>
  <c r="L42" i="31" s="1"/>
  <c r="K50" i="31"/>
  <c r="H50" i="31"/>
  <c r="E50" i="31"/>
  <c r="L50" i="31" s="1"/>
  <c r="K48" i="31"/>
  <c r="H48" i="31"/>
  <c r="E48" i="31"/>
  <c r="L48" i="31" s="1"/>
  <c r="K45" i="31"/>
  <c r="H45" i="31"/>
  <c r="E45" i="31"/>
  <c r="L45" i="31" s="1"/>
  <c r="K51" i="31"/>
  <c r="H51" i="31"/>
  <c r="E51" i="31"/>
  <c r="L51" i="31" s="1"/>
  <c r="K46" i="31"/>
  <c r="H46" i="31"/>
  <c r="E46" i="31"/>
  <c r="L46" i="31" s="1"/>
  <c r="K44" i="31"/>
  <c r="H44" i="31"/>
  <c r="E44" i="31"/>
  <c r="L44" i="31" s="1"/>
  <c r="K43" i="31"/>
  <c r="H43" i="31"/>
  <c r="E43" i="31"/>
  <c r="L43" i="31" s="1"/>
  <c r="K34" i="31"/>
  <c r="H34" i="31"/>
  <c r="E34" i="31"/>
  <c r="L34" i="31" s="1"/>
  <c r="K29" i="31"/>
  <c r="H29" i="31"/>
  <c r="E29" i="31"/>
  <c r="L29" i="31" s="1"/>
  <c r="E26" i="31"/>
  <c r="H26" i="31"/>
  <c r="K26" i="31"/>
  <c r="L26" i="31"/>
  <c r="K27" i="31"/>
  <c r="H27" i="31"/>
  <c r="E27" i="31"/>
  <c r="L27" i="31" s="1"/>
  <c r="K35" i="31"/>
  <c r="H35" i="31"/>
  <c r="E35" i="31"/>
  <c r="L35" i="31" s="1"/>
  <c r="K36" i="31"/>
  <c r="H36" i="31"/>
  <c r="E36" i="31"/>
  <c r="L36" i="31" s="1"/>
  <c r="K32" i="31"/>
  <c r="H32" i="31"/>
  <c r="E32" i="31"/>
  <c r="L32" i="31" s="1"/>
  <c r="K30" i="31"/>
  <c r="H30" i="31"/>
  <c r="E30" i="31"/>
  <c r="L30" i="31" s="1"/>
  <c r="K10" i="31"/>
  <c r="H10" i="31"/>
  <c r="E10" i="31"/>
  <c r="L10" i="31" s="1"/>
  <c r="K12" i="31"/>
  <c r="H12" i="31"/>
  <c r="E12" i="31"/>
  <c r="L12" i="31" s="1"/>
  <c r="K17" i="31"/>
  <c r="H17" i="31"/>
  <c r="L17" i="31" s="1"/>
  <c r="E17" i="31"/>
  <c r="K9" i="31"/>
  <c r="H9" i="31"/>
  <c r="E9" i="31"/>
  <c r="L9" i="31" s="1"/>
  <c r="K11" i="31"/>
  <c r="H11" i="31"/>
  <c r="E11" i="31"/>
  <c r="L11" i="31" s="1"/>
  <c r="K14" i="31"/>
  <c r="H14" i="31"/>
  <c r="E14" i="31"/>
  <c r="L14" i="31" s="1"/>
  <c r="K16" i="31"/>
  <c r="H16" i="31"/>
  <c r="E16" i="31"/>
  <c r="L16" i="31" s="1"/>
  <c r="K8" i="31"/>
  <c r="H8" i="31"/>
  <c r="E8" i="31"/>
  <c r="L8" i="31" s="1"/>
  <c r="K58" i="25"/>
  <c r="H58" i="25"/>
  <c r="E58" i="25"/>
  <c r="L58" i="25" s="1"/>
  <c r="K57" i="25"/>
  <c r="H57" i="25"/>
  <c r="E57" i="25"/>
  <c r="L57" i="25" s="1"/>
  <c r="K50" i="25"/>
  <c r="H50" i="25"/>
  <c r="E50" i="25"/>
  <c r="L50" i="25" s="1"/>
  <c r="K49" i="25"/>
  <c r="H49" i="25"/>
  <c r="E49" i="25"/>
  <c r="L49" i="25" s="1"/>
  <c r="K42" i="25"/>
  <c r="H42" i="25"/>
  <c r="E42" i="25"/>
  <c r="L42" i="25" s="1"/>
  <c r="K41" i="25"/>
  <c r="H41" i="25"/>
  <c r="E41" i="25"/>
  <c r="L41" i="25" s="1"/>
  <c r="K34" i="25"/>
  <c r="H34" i="25"/>
  <c r="E34" i="25"/>
  <c r="L34" i="25" s="1"/>
  <c r="K33" i="25"/>
  <c r="H33" i="25"/>
  <c r="E33" i="25"/>
  <c r="L33" i="25" s="1"/>
  <c r="K26" i="25"/>
  <c r="H26" i="25"/>
  <c r="L26" i="25" s="1"/>
  <c r="E26" i="25"/>
  <c r="K25" i="25"/>
  <c r="H25" i="25"/>
  <c r="E25" i="25"/>
  <c r="L25" i="25" s="1"/>
  <c r="K18" i="25"/>
  <c r="H18" i="25"/>
  <c r="E18" i="25"/>
  <c r="L18" i="25" s="1"/>
  <c r="K17" i="25"/>
  <c r="H17" i="25"/>
  <c r="E17" i="25"/>
  <c r="L17" i="25" s="1"/>
  <c r="K10" i="25"/>
  <c r="H10" i="25"/>
  <c r="E10" i="25"/>
  <c r="L10" i="25" s="1"/>
  <c r="K9" i="25"/>
  <c r="H9" i="25"/>
  <c r="E9" i="25"/>
  <c r="L9" i="25" s="1"/>
  <c r="K65" i="30"/>
  <c r="H65" i="30"/>
  <c r="E65" i="30"/>
  <c r="L65" i="30" s="1"/>
  <c r="K63" i="30"/>
  <c r="E63" i="30"/>
  <c r="L63" i="30" s="1"/>
  <c r="K62" i="30"/>
  <c r="K36" i="30"/>
  <c r="H36" i="30"/>
  <c r="E36" i="30"/>
  <c r="L36" i="30" s="1"/>
  <c r="L39" i="30" s="1"/>
  <c r="K27" i="30"/>
  <c r="E27" i="30"/>
  <c r="K18" i="30"/>
  <c r="H18" i="30"/>
  <c r="E18" i="30"/>
  <c r="L18" i="30" s="1"/>
  <c r="K8" i="30"/>
  <c r="H8" i="30"/>
  <c r="E8" i="30"/>
  <c r="K58" i="23"/>
  <c r="H58" i="23"/>
  <c r="E58" i="23"/>
  <c r="L58" i="23" s="1"/>
  <c r="L63" i="23" s="1"/>
  <c r="K31" i="23"/>
  <c r="H31" i="23"/>
  <c r="E31" i="23"/>
  <c r="L31" i="23" s="1"/>
  <c r="L33" i="23" s="1"/>
  <c r="K18" i="23"/>
  <c r="H18" i="23"/>
  <c r="E18" i="23"/>
  <c r="L18" i="23" s="1"/>
  <c r="K21" i="23"/>
  <c r="H21" i="23"/>
  <c r="E21" i="23"/>
  <c r="L21" i="23" s="1"/>
  <c r="K11" i="23"/>
  <c r="L11" i="23" s="1"/>
  <c r="H11" i="23"/>
  <c r="E11" i="23"/>
  <c r="K58" i="21"/>
  <c r="H58" i="21"/>
  <c r="E58" i="21"/>
  <c r="L58" i="21" s="1"/>
  <c r="K34" i="21"/>
  <c r="H34" i="21"/>
  <c r="E34" i="21"/>
  <c r="L34" i="21" s="1"/>
  <c r="K26" i="21"/>
  <c r="H26" i="21"/>
  <c r="E26" i="21"/>
  <c r="L26" i="21" s="1"/>
  <c r="K57" i="21"/>
  <c r="H57" i="21"/>
  <c r="E57" i="21"/>
  <c r="L57" i="21" s="1"/>
  <c r="K49" i="21"/>
  <c r="H49" i="21"/>
  <c r="E49" i="21"/>
  <c r="L49" i="21" s="1"/>
  <c r="K33" i="21"/>
  <c r="H33" i="21"/>
  <c r="E33" i="21"/>
  <c r="L33" i="21" s="1"/>
  <c r="K41" i="21"/>
  <c r="H41" i="21"/>
  <c r="E41" i="21"/>
  <c r="L41" i="21" s="1"/>
  <c r="K17" i="21"/>
  <c r="H17" i="21"/>
  <c r="E17" i="21"/>
  <c r="K40" i="21"/>
  <c r="H40" i="21"/>
  <c r="E40" i="21"/>
  <c r="L40" i="21" s="1"/>
  <c r="K56" i="21"/>
  <c r="H56" i="21"/>
  <c r="E56" i="21"/>
  <c r="L56" i="21" s="1"/>
  <c r="K48" i="21"/>
  <c r="H48" i="21"/>
  <c r="E48" i="21"/>
  <c r="L48" i="21" s="1"/>
  <c r="K32" i="21"/>
  <c r="H32" i="21"/>
  <c r="E32" i="21"/>
  <c r="L32" i="21" s="1"/>
  <c r="K24" i="21"/>
  <c r="H24" i="21"/>
  <c r="L24" i="21" s="1"/>
  <c r="E24" i="21"/>
  <c r="K16" i="21"/>
  <c r="L16" i="21" s="1"/>
  <c r="H16" i="21"/>
  <c r="E16" i="21"/>
  <c r="K10" i="21"/>
  <c r="H10" i="21"/>
  <c r="E10" i="21"/>
  <c r="L10" i="21" s="1"/>
  <c r="K9" i="21"/>
  <c r="H9" i="21"/>
  <c r="E9" i="21"/>
  <c r="L9" i="21" s="1"/>
  <c r="H8" i="21"/>
  <c r="E8" i="21"/>
  <c r="K8" i="21"/>
  <c r="L8" i="21" s="1"/>
  <c r="K49" i="22"/>
  <c r="H49" i="22"/>
  <c r="E49" i="22"/>
  <c r="L49" i="22" s="1"/>
  <c r="K58" i="22"/>
  <c r="H58" i="22"/>
  <c r="E58" i="22"/>
  <c r="L58" i="22" s="1"/>
  <c r="K57" i="22"/>
  <c r="H57" i="22"/>
  <c r="E57" i="22"/>
  <c r="L57" i="22" s="1"/>
  <c r="L59" i="22" s="1"/>
  <c r="K50" i="22"/>
  <c r="H50" i="22"/>
  <c r="E50" i="22"/>
  <c r="K42" i="22"/>
  <c r="H42" i="22"/>
  <c r="E42" i="22"/>
  <c r="L42" i="22" s="1"/>
  <c r="K41" i="22"/>
  <c r="H41" i="22"/>
  <c r="E41" i="22"/>
  <c r="L41" i="22" s="1"/>
  <c r="K34" i="22"/>
  <c r="H34" i="22"/>
  <c r="E34" i="22"/>
  <c r="L34" i="22" s="1"/>
  <c r="L35" i="22" s="1"/>
  <c r="L33" i="22"/>
  <c r="K33" i="22"/>
  <c r="H33" i="22"/>
  <c r="E33" i="22"/>
  <c r="K18" i="22"/>
  <c r="H18" i="22"/>
  <c r="E18" i="22"/>
  <c r="L18" i="22" s="1"/>
  <c r="K17" i="22"/>
  <c r="H17" i="22"/>
  <c r="E17" i="22"/>
  <c r="L17" i="22" s="1"/>
  <c r="K26" i="22"/>
  <c r="H26" i="22"/>
  <c r="E26" i="22"/>
  <c r="L26" i="22" s="1"/>
  <c r="L27" i="22" s="1"/>
  <c r="K10" i="22"/>
  <c r="H10" i="22"/>
  <c r="E10" i="22"/>
  <c r="L10" i="22" s="1"/>
  <c r="K115" i="20"/>
  <c r="L115" i="20"/>
  <c r="H115" i="20"/>
  <c r="E115" i="20"/>
  <c r="K114" i="20"/>
  <c r="H114" i="20"/>
  <c r="E114" i="20"/>
  <c r="K112" i="20"/>
  <c r="H112" i="20"/>
  <c r="E112" i="20"/>
  <c r="L112" i="20" s="1"/>
  <c r="K113" i="20"/>
  <c r="H113" i="20"/>
  <c r="E113" i="20"/>
  <c r="L113" i="20" s="1"/>
  <c r="K111" i="20"/>
  <c r="H111" i="20"/>
  <c r="E111" i="20"/>
  <c r="K110" i="20"/>
  <c r="H110" i="20"/>
  <c r="L110" i="20" s="1"/>
  <c r="E110" i="20"/>
  <c r="K109" i="20"/>
  <c r="H109" i="20"/>
  <c r="E109" i="20"/>
  <c r="L109" i="20" s="1"/>
  <c r="K108" i="20"/>
  <c r="H108" i="20"/>
  <c r="E108" i="20"/>
  <c r="L108" i="20" s="1"/>
  <c r="K107" i="20"/>
  <c r="H107" i="20"/>
  <c r="E107" i="20"/>
  <c r="L107" i="20" s="1"/>
  <c r="K106" i="20"/>
  <c r="H106" i="20"/>
  <c r="E106" i="20"/>
  <c r="K104" i="20"/>
  <c r="H104" i="20"/>
  <c r="E104" i="20"/>
  <c r="K98" i="20"/>
  <c r="H98" i="20"/>
  <c r="E98" i="20"/>
  <c r="L98" i="20" s="1"/>
  <c r="K96" i="20"/>
  <c r="H96" i="20"/>
  <c r="E96" i="20"/>
  <c r="K97" i="20"/>
  <c r="H97" i="20"/>
  <c r="E97" i="20"/>
  <c r="K95" i="20"/>
  <c r="H95" i="20"/>
  <c r="E95" i="20"/>
  <c r="K94" i="20"/>
  <c r="H94" i="20"/>
  <c r="E94" i="20"/>
  <c r="K93" i="20"/>
  <c r="H93" i="20"/>
  <c r="E93" i="20"/>
  <c r="K92" i="20"/>
  <c r="H92" i="20"/>
  <c r="E92" i="20"/>
  <c r="K91" i="20"/>
  <c r="H91" i="20"/>
  <c r="E91" i="20"/>
  <c r="L91" i="20" s="1"/>
  <c r="K88" i="20"/>
  <c r="H88" i="20"/>
  <c r="H99" i="20" s="1"/>
  <c r="E88" i="20"/>
  <c r="E99" i="20" s="1"/>
  <c r="K82" i="20"/>
  <c r="H82" i="20"/>
  <c r="E82" i="20"/>
  <c r="K81" i="20"/>
  <c r="H81" i="20"/>
  <c r="E81" i="20"/>
  <c r="L81" i="20" s="1"/>
  <c r="K80" i="20"/>
  <c r="H80" i="20"/>
  <c r="E80" i="20"/>
  <c r="K79" i="20"/>
  <c r="H79" i="20"/>
  <c r="E79" i="20"/>
  <c r="K77" i="20"/>
  <c r="H77" i="20"/>
  <c r="E77" i="20"/>
  <c r="K76" i="20"/>
  <c r="H76" i="20"/>
  <c r="E76" i="20"/>
  <c r="L76" i="20" s="1"/>
  <c r="K75" i="20"/>
  <c r="H75" i="20"/>
  <c r="E75" i="20"/>
  <c r="K74" i="20"/>
  <c r="H74" i="20"/>
  <c r="E74" i="20"/>
  <c r="K66" i="20"/>
  <c r="H66" i="20"/>
  <c r="E66" i="20"/>
  <c r="K65" i="20"/>
  <c r="H65" i="20"/>
  <c r="E65" i="20"/>
  <c r="L65" i="20" s="1"/>
  <c r="K64" i="20"/>
  <c r="H64" i="20"/>
  <c r="E64" i="20"/>
  <c r="K63" i="20"/>
  <c r="H63" i="20"/>
  <c r="E63" i="20"/>
  <c r="K62" i="20"/>
  <c r="H62" i="20"/>
  <c r="E62" i="20"/>
  <c r="K61" i="20"/>
  <c r="H61" i="20"/>
  <c r="E61" i="20"/>
  <c r="L61" i="20" s="1"/>
  <c r="K60" i="20"/>
  <c r="H60" i="20"/>
  <c r="E60" i="20"/>
  <c r="K59" i="20"/>
  <c r="H59" i="20"/>
  <c r="E59" i="20"/>
  <c r="K49" i="20"/>
  <c r="H49" i="20"/>
  <c r="E49" i="20"/>
  <c r="K48" i="20"/>
  <c r="H48" i="20"/>
  <c r="E48" i="20"/>
  <c r="L48" i="20" s="1"/>
  <c r="K50" i="20"/>
  <c r="H50" i="20"/>
  <c r="E50" i="20"/>
  <c r="K47" i="20"/>
  <c r="H47" i="20"/>
  <c r="E47" i="20"/>
  <c r="K45" i="20"/>
  <c r="H45" i="20"/>
  <c r="E45" i="20"/>
  <c r="K44" i="20"/>
  <c r="H44" i="20"/>
  <c r="E44" i="20"/>
  <c r="L44" i="20" s="1"/>
  <c r="K43" i="20"/>
  <c r="H43" i="20"/>
  <c r="E43" i="20"/>
  <c r="K33" i="20"/>
  <c r="H33" i="20"/>
  <c r="E33" i="20"/>
  <c r="K34" i="20"/>
  <c r="H34" i="20"/>
  <c r="E34" i="20"/>
  <c r="C105" i="14"/>
  <c r="C104" i="14"/>
  <c r="C103" i="14"/>
  <c r="C102" i="14"/>
  <c r="C101" i="14"/>
  <c r="C100" i="14"/>
  <c r="C99" i="14"/>
  <c r="C98" i="14"/>
  <c r="L94" i="14"/>
  <c r="K94" i="14"/>
  <c r="H94" i="14"/>
  <c r="E94" i="14"/>
  <c r="L93" i="14"/>
  <c r="K93" i="14"/>
  <c r="H93" i="14"/>
  <c r="E93" i="14"/>
  <c r="L92" i="14"/>
  <c r="K92" i="14"/>
  <c r="H92" i="14"/>
  <c r="E92" i="14"/>
  <c r="L91" i="14"/>
  <c r="K91" i="14"/>
  <c r="H91" i="14"/>
  <c r="E91" i="14"/>
  <c r="L90" i="14"/>
  <c r="K90" i="14"/>
  <c r="H90" i="14"/>
  <c r="E90" i="14"/>
  <c r="L89" i="14"/>
  <c r="K89" i="14"/>
  <c r="H89" i="14"/>
  <c r="E89" i="14"/>
  <c r="L88" i="14"/>
  <c r="K88" i="14"/>
  <c r="H88" i="14"/>
  <c r="E88" i="14"/>
  <c r="L87" i="14"/>
  <c r="K87" i="14"/>
  <c r="H87" i="14"/>
  <c r="E87" i="14"/>
  <c r="L86" i="14"/>
  <c r="K86" i="14"/>
  <c r="H86" i="14"/>
  <c r="E86" i="14"/>
  <c r="L81" i="14"/>
  <c r="K81" i="14"/>
  <c r="H81" i="14"/>
  <c r="E81" i="14"/>
  <c r="L80" i="14"/>
  <c r="K80" i="14"/>
  <c r="H80" i="14"/>
  <c r="E80" i="14"/>
  <c r="L79" i="14"/>
  <c r="K79" i="14"/>
  <c r="H79" i="14"/>
  <c r="E79" i="14"/>
  <c r="L78" i="14"/>
  <c r="K78" i="14"/>
  <c r="H78" i="14"/>
  <c r="E78" i="14"/>
  <c r="L77" i="14"/>
  <c r="K77" i="14"/>
  <c r="H77" i="14"/>
  <c r="E77" i="14"/>
  <c r="L76" i="14"/>
  <c r="K76" i="14"/>
  <c r="H76" i="14"/>
  <c r="E76" i="14"/>
  <c r="L75" i="14"/>
  <c r="K75" i="14"/>
  <c r="H75" i="14"/>
  <c r="E75" i="14"/>
  <c r="L74" i="14"/>
  <c r="K74" i="14"/>
  <c r="H74" i="14"/>
  <c r="E74" i="14"/>
  <c r="L73" i="14"/>
  <c r="K73" i="14"/>
  <c r="H73" i="14"/>
  <c r="E73" i="14"/>
  <c r="L68" i="14"/>
  <c r="K68" i="14"/>
  <c r="H68" i="14"/>
  <c r="E68" i="14"/>
  <c r="L67" i="14"/>
  <c r="K67" i="14"/>
  <c r="H67" i="14"/>
  <c r="E67" i="14"/>
  <c r="L66" i="14"/>
  <c r="K66" i="14"/>
  <c r="H66" i="14"/>
  <c r="E66" i="14"/>
  <c r="L65" i="14"/>
  <c r="K65" i="14"/>
  <c r="H65" i="14"/>
  <c r="E65" i="14"/>
  <c r="L64" i="14"/>
  <c r="K64" i="14"/>
  <c r="H64" i="14"/>
  <c r="E64" i="14"/>
  <c r="L63" i="14"/>
  <c r="K63" i="14"/>
  <c r="H63" i="14"/>
  <c r="E63" i="14"/>
  <c r="L62" i="14"/>
  <c r="K62" i="14"/>
  <c r="H62" i="14"/>
  <c r="E62" i="14"/>
  <c r="L61" i="14"/>
  <c r="K61" i="14"/>
  <c r="H61" i="14"/>
  <c r="E61" i="14"/>
  <c r="L60" i="14"/>
  <c r="K60" i="14"/>
  <c r="H60" i="14"/>
  <c r="E60" i="14"/>
  <c r="L55" i="14"/>
  <c r="K55" i="14"/>
  <c r="H55" i="14"/>
  <c r="E55" i="14"/>
  <c r="L54" i="14"/>
  <c r="K54" i="14"/>
  <c r="H54" i="14"/>
  <c r="E54" i="14"/>
  <c r="L53" i="14"/>
  <c r="K53" i="14"/>
  <c r="H53" i="14"/>
  <c r="E53" i="14"/>
  <c r="L52" i="14"/>
  <c r="K52" i="14"/>
  <c r="H52" i="14"/>
  <c r="E52" i="14"/>
  <c r="L51" i="14"/>
  <c r="K51" i="14"/>
  <c r="H51" i="14"/>
  <c r="E51" i="14"/>
  <c r="L50" i="14"/>
  <c r="K50" i="14"/>
  <c r="H50" i="14"/>
  <c r="E50" i="14"/>
  <c r="L49" i="14"/>
  <c r="K49" i="14"/>
  <c r="H49" i="14"/>
  <c r="E49" i="14"/>
  <c r="L48" i="14"/>
  <c r="K48" i="14"/>
  <c r="H48" i="14"/>
  <c r="E48" i="14"/>
  <c r="L47" i="14"/>
  <c r="K47" i="14"/>
  <c r="H47" i="14"/>
  <c r="E47" i="14"/>
  <c r="L42" i="14"/>
  <c r="K42" i="14"/>
  <c r="H42" i="14"/>
  <c r="E42" i="14"/>
  <c r="L41" i="14"/>
  <c r="K41" i="14"/>
  <c r="H41" i="14"/>
  <c r="E41" i="14"/>
  <c r="L40" i="14"/>
  <c r="K40" i="14"/>
  <c r="H40" i="14"/>
  <c r="E40" i="14"/>
  <c r="L39" i="14"/>
  <c r="K39" i="14"/>
  <c r="H39" i="14"/>
  <c r="E39" i="14"/>
  <c r="L38" i="14"/>
  <c r="K38" i="14"/>
  <c r="H38" i="14"/>
  <c r="E38" i="14"/>
  <c r="L37" i="14"/>
  <c r="K37" i="14"/>
  <c r="H37" i="14"/>
  <c r="E37" i="14"/>
  <c r="L36" i="14"/>
  <c r="K36" i="14"/>
  <c r="H36" i="14"/>
  <c r="E36" i="14"/>
  <c r="L35" i="14"/>
  <c r="K35" i="14"/>
  <c r="H35" i="14"/>
  <c r="E35" i="14"/>
  <c r="L34" i="14"/>
  <c r="K34" i="14"/>
  <c r="H34" i="14"/>
  <c r="E34" i="14"/>
  <c r="L29" i="14"/>
  <c r="K29" i="14"/>
  <c r="H29" i="14"/>
  <c r="E29" i="14"/>
  <c r="L28" i="14"/>
  <c r="K28" i="14"/>
  <c r="H28" i="14"/>
  <c r="E28" i="14"/>
  <c r="L27" i="14"/>
  <c r="K27" i="14"/>
  <c r="H27" i="14"/>
  <c r="E27" i="14"/>
  <c r="L26" i="14"/>
  <c r="K26" i="14"/>
  <c r="H26" i="14"/>
  <c r="E26" i="14"/>
  <c r="L25" i="14"/>
  <c r="K25" i="14"/>
  <c r="H25" i="14"/>
  <c r="E25" i="14"/>
  <c r="L24" i="14"/>
  <c r="K24" i="14"/>
  <c r="H24" i="14"/>
  <c r="E24" i="14"/>
  <c r="L23" i="14"/>
  <c r="K23" i="14"/>
  <c r="H23" i="14"/>
  <c r="E23" i="14"/>
  <c r="L22" i="14"/>
  <c r="K22" i="14"/>
  <c r="H22" i="14"/>
  <c r="E22" i="14"/>
  <c r="L21" i="14"/>
  <c r="K21" i="14"/>
  <c r="H21" i="14"/>
  <c r="E21" i="14"/>
  <c r="L16" i="14"/>
  <c r="K16" i="14"/>
  <c r="H16" i="14"/>
  <c r="E16" i="14"/>
  <c r="L15" i="14"/>
  <c r="K15" i="14"/>
  <c r="H15" i="14"/>
  <c r="E15" i="14"/>
  <c r="L14" i="14"/>
  <c r="K14" i="14"/>
  <c r="H14" i="14"/>
  <c r="E14" i="14"/>
  <c r="L13" i="14"/>
  <c r="K13" i="14"/>
  <c r="H13" i="14"/>
  <c r="E13" i="14"/>
  <c r="L12" i="14"/>
  <c r="K12" i="14"/>
  <c r="H12" i="14"/>
  <c r="E12" i="14"/>
  <c r="L11" i="14"/>
  <c r="K11" i="14"/>
  <c r="H11" i="14"/>
  <c r="E11" i="14"/>
  <c r="L10" i="14"/>
  <c r="K10" i="14"/>
  <c r="H10" i="14"/>
  <c r="E10" i="14"/>
  <c r="L9" i="14"/>
  <c r="K9" i="14"/>
  <c r="H9" i="14"/>
  <c r="E9" i="14"/>
  <c r="L8" i="14"/>
  <c r="K8" i="14"/>
  <c r="H8" i="14"/>
  <c r="E8" i="14"/>
  <c r="K122" i="31"/>
  <c r="H122" i="31"/>
  <c r="E122" i="31"/>
  <c r="G107" i="31"/>
  <c r="G90" i="31"/>
  <c r="K88" i="31"/>
  <c r="H88" i="31"/>
  <c r="E88" i="31"/>
  <c r="G73" i="31"/>
  <c r="K71" i="31"/>
  <c r="H71" i="31"/>
  <c r="E71" i="31"/>
  <c r="G56" i="31"/>
  <c r="K54" i="31"/>
  <c r="H54" i="31"/>
  <c r="E54" i="31"/>
  <c r="G39" i="31"/>
  <c r="H37" i="31"/>
  <c r="E37" i="31"/>
  <c r="K33" i="31"/>
  <c r="L33" i="31" s="1"/>
  <c r="H33" i="31"/>
  <c r="E33" i="31"/>
  <c r="K31" i="31"/>
  <c r="L31" i="31" s="1"/>
  <c r="H31" i="31"/>
  <c r="E31" i="31"/>
  <c r="K28" i="31"/>
  <c r="L28" i="31" s="1"/>
  <c r="H28" i="31"/>
  <c r="E28" i="31"/>
  <c r="K25" i="31"/>
  <c r="H25" i="31"/>
  <c r="E25" i="31"/>
  <c r="G22" i="31"/>
  <c r="H20" i="31"/>
  <c r="K19" i="31"/>
  <c r="L19" i="31" s="1"/>
  <c r="H19" i="31"/>
  <c r="E19" i="31"/>
  <c r="K18" i="31"/>
  <c r="L18" i="31" s="1"/>
  <c r="H18" i="31"/>
  <c r="E18" i="31"/>
  <c r="E20" i="31"/>
  <c r="K15" i="31"/>
  <c r="L15" i="31" s="1"/>
  <c r="H15" i="31"/>
  <c r="E15" i="31"/>
  <c r="K13" i="31"/>
  <c r="H13" i="31"/>
  <c r="E13" i="31"/>
  <c r="G5" i="31"/>
  <c r="C71" i="26"/>
  <c r="C70" i="26"/>
  <c r="C69" i="26"/>
  <c r="C68" i="26"/>
  <c r="L66" i="26"/>
  <c r="K66" i="26"/>
  <c r="H66" i="26"/>
  <c r="E66" i="26"/>
  <c r="L65" i="26"/>
  <c r="K65" i="26"/>
  <c r="H65" i="26"/>
  <c r="E65" i="26"/>
  <c r="L64" i="26"/>
  <c r="K64" i="26"/>
  <c r="H64" i="26"/>
  <c r="E64" i="26"/>
  <c r="L63" i="26"/>
  <c r="K63" i="26"/>
  <c r="H63" i="26"/>
  <c r="E63" i="26"/>
  <c r="L62" i="26"/>
  <c r="K62" i="26"/>
  <c r="H62" i="26"/>
  <c r="E62" i="26"/>
  <c r="L57" i="26"/>
  <c r="K57" i="26"/>
  <c r="H57" i="26"/>
  <c r="E57" i="26"/>
  <c r="L56" i="26"/>
  <c r="K56" i="26"/>
  <c r="H56" i="26"/>
  <c r="E56" i="26"/>
  <c r="L55" i="26"/>
  <c r="K55" i="26"/>
  <c r="H55" i="26"/>
  <c r="E55" i="26"/>
  <c r="L54" i="26"/>
  <c r="K54" i="26"/>
  <c r="H54" i="26"/>
  <c r="E54" i="26"/>
  <c r="L53" i="26"/>
  <c r="K53" i="26"/>
  <c r="H53" i="26"/>
  <c r="E53" i="26"/>
  <c r="L48" i="26"/>
  <c r="K48" i="26"/>
  <c r="H48" i="26"/>
  <c r="E48" i="26"/>
  <c r="L47" i="26"/>
  <c r="K47" i="26"/>
  <c r="H47" i="26"/>
  <c r="E47" i="26"/>
  <c r="L46" i="26"/>
  <c r="K46" i="26"/>
  <c r="H46" i="26"/>
  <c r="E46" i="26"/>
  <c r="L45" i="26"/>
  <c r="K45" i="26"/>
  <c r="H45" i="26"/>
  <c r="E45" i="26"/>
  <c r="L44" i="26"/>
  <c r="K44" i="26"/>
  <c r="H44" i="26"/>
  <c r="E44" i="26"/>
  <c r="L39" i="26"/>
  <c r="K39" i="26"/>
  <c r="H39" i="26"/>
  <c r="E39" i="26"/>
  <c r="L38" i="26"/>
  <c r="K38" i="26"/>
  <c r="H38" i="26"/>
  <c r="E38" i="26"/>
  <c r="L37" i="26"/>
  <c r="K37" i="26"/>
  <c r="H37" i="26"/>
  <c r="E37" i="26"/>
  <c r="L36" i="26"/>
  <c r="K36" i="26"/>
  <c r="H36" i="26"/>
  <c r="E36" i="26"/>
  <c r="L35" i="26"/>
  <c r="K35" i="26"/>
  <c r="H35" i="26"/>
  <c r="E35" i="26"/>
  <c r="L30" i="26"/>
  <c r="K30" i="26"/>
  <c r="H30" i="26"/>
  <c r="E30" i="26"/>
  <c r="L29" i="26"/>
  <c r="K29" i="26"/>
  <c r="H29" i="26"/>
  <c r="E29" i="26"/>
  <c r="L28" i="26"/>
  <c r="K28" i="26"/>
  <c r="H28" i="26"/>
  <c r="E28" i="26"/>
  <c r="L27" i="26"/>
  <c r="K27" i="26"/>
  <c r="H27" i="26"/>
  <c r="E27" i="26"/>
  <c r="L26" i="26"/>
  <c r="K26" i="26"/>
  <c r="H26" i="26"/>
  <c r="E26" i="26"/>
  <c r="L21" i="26"/>
  <c r="K21" i="26"/>
  <c r="H21" i="26"/>
  <c r="E21" i="26"/>
  <c r="L20" i="26"/>
  <c r="K20" i="26"/>
  <c r="H20" i="26"/>
  <c r="E20" i="26"/>
  <c r="L19" i="26"/>
  <c r="K19" i="26"/>
  <c r="H19" i="26"/>
  <c r="E19" i="26"/>
  <c r="L18" i="26"/>
  <c r="K18" i="26"/>
  <c r="H18" i="26"/>
  <c r="E18" i="26"/>
  <c r="L17" i="26"/>
  <c r="K17" i="26"/>
  <c r="H17" i="26"/>
  <c r="E17" i="26"/>
  <c r="L12" i="26"/>
  <c r="K12" i="26"/>
  <c r="H12" i="26"/>
  <c r="E12" i="26"/>
  <c r="L11" i="26"/>
  <c r="K11" i="26"/>
  <c r="H11" i="26"/>
  <c r="E11" i="26"/>
  <c r="L10" i="26"/>
  <c r="K10" i="26"/>
  <c r="H10" i="26"/>
  <c r="E10" i="26"/>
  <c r="L9" i="26"/>
  <c r="K9" i="26"/>
  <c r="H9" i="26"/>
  <c r="E9" i="26"/>
  <c r="L8" i="26"/>
  <c r="K8" i="26"/>
  <c r="H8" i="26"/>
  <c r="E8" i="26"/>
  <c r="C62" i="25"/>
  <c r="H59" i="25"/>
  <c r="E59" i="25"/>
  <c r="K59" i="25"/>
  <c r="L56" i="25"/>
  <c r="K56" i="25"/>
  <c r="H56" i="25"/>
  <c r="E56" i="25"/>
  <c r="K51" i="25"/>
  <c r="H51" i="25"/>
  <c r="E51" i="25"/>
  <c r="L48" i="25"/>
  <c r="K48" i="25"/>
  <c r="H48" i="25"/>
  <c r="E48" i="25"/>
  <c r="H43" i="25"/>
  <c r="E43" i="25"/>
  <c r="K43" i="25"/>
  <c r="L40" i="25"/>
  <c r="K40" i="25"/>
  <c r="H40" i="25"/>
  <c r="E40" i="25"/>
  <c r="K35" i="25"/>
  <c r="H35" i="25"/>
  <c r="E35" i="25"/>
  <c r="L32" i="25"/>
  <c r="K32" i="25"/>
  <c r="H32" i="25"/>
  <c r="E32" i="25"/>
  <c r="K27" i="25"/>
  <c r="H27" i="25"/>
  <c r="E27" i="25"/>
  <c r="L24" i="25"/>
  <c r="K24" i="25"/>
  <c r="H24" i="25"/>
  <c r="E24" i="25"/>
  <c r="K19" i="25"/>
  <c r="H19" i="25"/>
  <c r="E19" i="25"/>
  <c r="L16" i="25"/>
  <c r="K16" i="25"/>
  <c r="H16" i="25"/>
  <c r="E16" i="25"/>
  <c r="X11" i="25"/>
  <c r="W11" i="25"/>
  <c r="T11" i="25"/>
  <c r="Q11" i="25"/>
  <c r="H11" i="25"/>
  <c r="E11" i="25"/>
  <c r="L8" i="25"/>
  <c r="K8" i="25"/>
  <c r="H8" i="25"/>
  <c r="E8" i="25"/>
  <c r="W7" i="25"/>
  <c r="V7" i="25"/>
  <c r="S7" i="25"/>
  <c r="P7" i="25"/>
  <c r="D57" i="39"/>
  <c r="D55" i="39"/>
  <c r="L52" i="39"/>
  <c r="K52" i="39"/>
  <c r="H52" i="39"/>
  <c r="E52" i="39"/>
  <c r="L51" i="39"/>
  <c r="K51" i="39"/>
  <c r="H51" i="39"/>
  <c r="E51" i="39"/>
  <c r="L50" i="39"/>
  <c r="K50" i="39"/>
  <c r="H50" i="39"/>
  <c r="E50" i="39"/>
  <c r="L45" i="39"/>
  <c r="K45" i="39"/>
  <c r="H45" i="39"/>
  <c r="E45" i="39"/>
  <c r="L44" i="39"/>
  <c r="K44" i="39"/>
  <c r="H44" i="39"/>
  <c r="E44" i="39"/>
  <c r="L43" i="39"/>
  <c r="K43" i="39"/>
  <c r="H43" i="39"/>
  <c r="E43" i="39"/>
  <c r="L38" i="39"/>
  <c r="K38" i="39"/>
  <c r="H38" i="39"/>
  <c r="E38" i="39"/>
  <c r="L37" i="39"/>
  <c r="K37" i="39"/>
  <c r="H37" i="39"/>
  <c r="E37" i="39"/>
  <c r="L36" i="39"/>
  <c r="K36" i="39"/>
  <c r="H36" i="39"/>
  <c r="E36" i="39"/>
  <c r="L31" i="39"/>
  <c r="K31" i="39"/>
  <c r="H31" i="39"/>
  <c r="E31" i="39"/>
  <c r="L30" i="39"/>
  <c r="K30" i="39"/>
  <c r="H30" i="39"/>
  <c r="E30" i="39"/>
  <c r="L29" i="39"/>
  <c r="K29" i="39"/>
  <c r="H29" i="39"/>
  <c r="E29" i="39"/>
  <c r="L24" i="39"/>
  <c r="K24" i="39"/>
  <c r="H24" i="39"/>
  <c r="E24" i="39"/>
  <c r="L23" i="39"/>
  <c r="K23" i="39"/>
  <c r="H23" i="39"/>
  <c r="E23" i="39"/>
  <c r="L22" i="39"/>
  <c r="K22" i="39"/>
  <c r="H22" i="39"/>
  <c r="E22" i="39"/>
  <c r="L17" i="39"/>
  <c r="K17" i="39"/>
  <c r="H17" i="39"/>
  <c r="E17" i="39"/>
  <c r="L16" i="39"/>
  <c r="K16" i="39"/>
  <c r="H16" i="39"/>
  <c r="E16" i="39"/>
  <c r="L15" i="39"/>
  <c r="K15" i="39"/>
  <c r="H15" i="39"/>
  <c r="E15" i="39"/>
  <c r="L10" i="39"/>
  <c r="K10" i="39"/>
  <c r="H10" i="39"/>
  <c r="E10" i="39"/>
  <c r="L9" i="39"/>
  <c r="K9" i="39"/>
  <c r="H9" i="39"/>
  <c r="E9" i="39"/>
  <c r="L8" i="39"/>
  <c r="K8" i="39"/>
  <c r="H8" i="39"/>
  <c r="E8" i="39"/>
  <c r="K66" i="30"/>
  <c r="E66" i="30"/>
  <c r="L64" i="30"/>
  <c r="K64" i="30"/>
  <c r="H64" i="30"/>
  <c r="E64" i="30"/>
  <c r="H62" i="30"/>
  <c r="H66" i="30" s="1"/>
  <c r="E62" i="30"/>
  <c r="L57" i="30"/>
  <c r="K57" i="30"/>
  <c r="H57" i="30"/>
  <c r="E57" i="30"/>
  <c r="L56" i="30"/>
  <c r="K56" i="30"/>
  <c r="H56" i="30"/>
  <c r="E56" i="30"/>
  <c r="L55" i="30"/>
  <c r="K55" i="30"/>
  <c r="H55" i="30"/>
  <c r="E55" i="30"/>
  <c r="L54" i="30"/>
  <c r="K54" i="30"/>
  <c r="H54" i="30"/>
  <c r="E54" i="30"/>
  <c r="L53" i="30"/>
  <c r="K53" i="30"/>
  <c r="H53" i="30"/>
  <c r="E53" i="30"/>
  <c r="L48" i="30"/>
  <c r="K48" i="30"/>
  <c r="H48" i="30"/>
  <c r="E48" i="30"/>
  <c r="L47" i="30"/>
  <c r="K47" i="30"/>
  <c r="H47" i="30"/>
  <c r="E47" i="30"/>
  <c r="L46" i="30"/>
  <c r="K46" i="30"/>
  <c r="H46" i="30"/>
  <c r="E46" i="30"/>
  <c r="L45" i="30"/>
  <c r="K45" i="30"/>
  <c r="H45" i="30"/>
  <c r="E45" i="30"/>
  <c r="L44" i="30"/>
  <c r="K44" i="30"/>
  <c r="H44" i="30"/>
  <c r="E44" i="30"/>
  <c r="K39" i="30"/>
  <c r="H39" i="30"/>
  <c r="E39" i="30"/>
  <c r="L38" i="30"/>
  <c r="K38" i="30"/>
  <c r="H38" i="30"/>
  <c r="E38" i="30"/>
  <c r="L37" i="30"/>
  <c r="K37" i="30"/>
  <c r="H37" i="30"/>
  <c r="E37" i="30"/>
  <c r="L35" i="30"/>
  <c r="K35" i="30"/>
  <c r="H35" i="30"/>
  <c r="E35" i="30"/>
  <c r="K30" i="30"/>
  <c r="H30" i="30"/>
  <c r="E30" i="30"/>
  <c r="L29" i="30"/>
  <c r="K29" i="30"/>
  <c r="H29" i="30"/>
  <c r="E29" i="30"/>
  <c r="L28" i="30"/>
  <c r="K28" i="30"/>
  <c r="H28" i="30"/>
  <c r="E28" i="30"/>
  <c r="L26" i="30"/>
  <c r="K26" i="30"/>
  <c r="H26" i="30"/>
  <c r="E26" i="30"/>
  <c r="K21" i="30"/>
  <c r="H21" i="30"/>
  <c r="E21" i="30"/>
  <c r="L20" i="30"/>
  <c r="K20" i="30"/>
  <c r="H20" i="30"/>
  <c r="E20" i="30"/>
  <c r="L19" i="30"/>
  <c r="K19" i="30"/>
  <c r="H19" i="30"/>
  <c r="E19" i="30"/>
  <c r="K17" i="30"/>
  <c r="L17" i="30" s="1"/>
  <c r="H17" i="30"/>
  <c r="E17" i="30"/>
  <c r="K11" i="30"/>
  <c r="H11" i="30"/>
  <c r="E11" i="30"/>
  <c r="L11" i="30" s="1"/>
  <c r="K10" i="30"/>
  <c r="H10" i="30"/>
  <c r="E10" i="30"/>
  <c r="L10" i="30" s="1"/>
  <c r="D71" i="30" s="1"/>
  <c r="L9" i="30"/>
  <c r="K9" i="30"/>
  <c r="H9" i="30"/>
  <c r="H12" i="30" s="1"/>
  <c r="E9" i="30"/>
  <c r="C53" i="28"/>
  <c r="C52" i="28"/>
  <c r="L50" i="28"/>
  <c r="K50" i="28"/>
  <c r="H50" i="28"/>
  <c r="E50" i="28"/>
  <c r="L49" i="28"/>
  <c r="K49" i="28"/>
  <c r="H49" i="28"/>
  <c r="E49" i="28"/>
  <c r="L48" i="28"/>
  <c r="K48" i="28"/>
  <c r="L44" i="28"/>
  <c r="K44" i="28"/>
  <c r="H44" i="28"/>
  <c r="E44" i="28"/>
  <c r="L43" i="28"/>
  <c r="K43" i="28"/>
  <c r="H43" i="28"/>
  <c r="E43" i="28"/>
  <c r="L42" i="28"/>
  <c r="K42" i="28"/>
  <c r="L38" i="28"/>
  <c r="K38" i="28"/>
  <c r="H38" i="28"/>
  <c r="E38" i="28"/>
  <c r="L37" i="28"/>
  <c r="K37" i="28"/>
  <c r="H37" i="28"/>
  <c r="E37" i="28"/>
  <c r="L36" i="28"/>
  <c r="K36" i="28"/>
  <c r="L31" i="28"/>
  <c r="K31" i="28"/>
  <c r="H31" i="28"/>
  <c r="E31" i="28"/>
  <c r="L30" i="28"/>
  <c r="K30" i="28"/>
  <c r="H30" i="28"/>
  <c r="E30" i="28"/>
  <c r="L29" i="28"/>
  <c r="K29" i="28"/>
  <c r="L24" i="28"/>
  <c r="K24" i="28"/>
  <c r="H24" i="28"/>
  <c r="E24" i="28"/>
  <c r="L23" i="28"/>
  <c r="K23" i="28"/>
  <c r="H23" i="28"/>
  <c r="E23" i="28"/>
  <c r="L22" i="28"/>
  <c r="K22" i="28"/>
  <c r="L17" i="28"/>
  <c r="K17" i="28"/>
  <c r="H17" i="28"/>
  <c r="E17" i="28"/>
  <c r="L16" i="28"/>
  <c r="K16" i="28"/>
  <c r="H16" i="28"/>
  <c r="E16" i="28"/>
  <c r="L15" i="28"/>
  <c r="K15" i="28"/>
  <c r="L10" i="28"/>
  <c r="K10" i="28"/>
  <c r="H10" i="28"/>
  <c r="E10" i="28"/>
  <c r="L9" i="28"/>
  <c r="K9" i="28"/>
  <c r="H9" i="28"/>
  <c r="E9" i="28"/>
  <c r="L8" i="28"/>
  <c r="K8" i="28"/>
  <c r="D81" i="23"/>
  <c r="D80" i="23"/>
  <c r="D77" i="23"/>
  <c r="L73" i="23"/>
  <c r="K73" i="23"/>
  <c r="H73" i="23"/>
  <c r="E73" i="23"/>
  <c r="L72" i="23"/>
  <c r="K72" i="23"/>
  <c r="H72" i="23"/>
  <c r="E72" i="23"/>
  <c r="L71" i="23"/>
  <c r="K71" i="23"/>
  <c r="H71" i="23"/>
  <c r="E71" i="23"/>
  <c r="L70" i="23"/>
  <c r="K70" i="23"/>
  <c r="H70" i="23"/>
  <c r="E70" i="23"/>
  <c r="L69" i="23"/>
  <c r="K69" i="23"/>
  <c r="H69" i="23"/>
  <c r="E69" i="23"/>
  <c r="L68" i="23"/>
  <c r="K68" i="23"/>
  <c r="H68" i="23"/>
  <c r="E68" i="23"/>
  <c r="K63" i="23"/>
  <c r="H63" i="23"/>
  <c r="E63" i="23"/>
  <c r="L62" i="23"/>
  <c r="K62" i="23"/>
  <c r="H62" i="23"/>
  <c r="E62" i="23"/>
  <c r="L61" i="23"/>
  <c r="K61" i="23"/>
  <c r="H61" i="23"/>
  <c r="E61" i="23"/>
  <c r="L60" i="23"/>
  <c r="K60" i="23"/>
  <c r="H60" i="23"/>
  <c r="E60" i="23"/>
  <c r="L59" i="23"/>
  <c r="K59" i="23"/>
  <c r="H59" i="23"/>
  <c r="E59" i="23"/>
  <c r="Q57" i="23"/>
  <c r="Q56" i="23"/>
  <c r="K53" i="23"/>
  <c r="E53" i="23"/>
  <c r="L52" i="23"/>
  <c r="K52" i="23"/>
  <c r="H52" i="23"/>
  <c r="E52" i="23"/>
  <c r="L51" i="23"/>
  <c r="K51" i="23"/>
  <c r="H51" i="23"/>
  <c r="E51" i="23"/>
  <c r="K50" i="23"/>
  <c r="H50" i="23"/>
  <c r="L50" i="23" s="1"/>
  <c r="E50" i="23"/>
  <c r="L49" i="23"/>
  <c r="K49" i="23"/>
  <c r="H49" i="23"/>
  <c r="E49" i="23"/>
  <c r="L48" i="23"/>
  <c r="K48" i="23"/>
  <c r="H48" i="23"/>
  <c r="E48" i="23"/>
  <c r="L43" i="23"/>
  <c r="K43" i="23"/>
  <c r="H43" i="23"/>
  <c r="E43" i="23"/>
  <c r="L42" i="23"/>
  <c r="K42" i="23"/>
  <c r="H42" i="23"/>
  <c r="E42" i="23"/>
  <c r="L41" i="23"/>
  <c r="K41" i="23"/>
  <c r="H41" i="23"/>
  <c r="E41" i="23"/>
  <c r="L40" i="23"/>
  <c r="K40" i="23"/>
  <c r="H40" i="23"/>
  <c r="E40" i="23"/>
  <c r="L39" i="23"/>
  <c r="K39" i="23"/>
  <c r="H39" i="23"/>
  <c r="E39" i="23"/>
  <c r="L38" i="23"/>
  <c r="K38" i="23"/>
  <c r="H38" i="23"/>
  <c r="E38" i="23"/>
  <c r="K33" i="23"/>
  <c r="H33" i="23"/>
  <c r="E33" i="23"/>
  <c r="L32" i="23"/>
  <c r="K32" i="23"/>
  <c r="H32" i="23"/>
  <c r="E32" i="23"/>
  <c r="L30" i="23"/>
  <c r="K30" i="23"/>
  <c r="H30" i="23"/>
  <c r="E30" i="23"/>
  <c r="L29" i="23"/>
  <c r="K29" i="23"/>
  <c r="H29" i="23"/>
  <c r="E29" i="23"/>
  <c r="L28" i="23"/>
  <c r="K28" i="23"/>
  <c r="H28" i="23"/>
  <c r="E28" i="23"/>
  <c r="K23" i="23"/>
  <c r="H23" i="23"/>
  <c r="E23" i="23"/>
  <c r="L22" i="23"/>
  <c r="K22" i="23"/>
  <c r="H22" i="23"/>
  <c r="E22" i="23"/>
  <c r="L20" i="23"/>
  <c r="K20" i="23"/>
  <c r="H20" i="23"/>
  <c r="E20" i="23"/>
  <c r="L19" i="23"/>
  <c r="K19" i="23"/>
  <c r="H19" i="23"/>
  <c r="E19" i="23"/>
  <c r="H13" i="23"/>
  <c r="E13" i="23"/>
  <c r="L12" i="23"/>
  <c r="K12" i="23"/>
  <c r="H12" i="23"/>
  <c r="E12" i="23"/>
  <c r="L10" i="23"/>
  <c r="K10" i="23"/>
  <c r="H10" i="23"/>
  <c r="E10" i="23"/>
  <c r="L9" i="23"/>
  <c r="K9" i="23"/>
  <c r="H9" i="23"/>
  <c r="E9" i="23"/>
  <c r="L8" i="23"/>
  <c r="K8" i="23"/>
  <c r="H8" i="23"/>
  <c r="E8" i="23"/>
  <c r="C136" i="24"/>
  <c r="C135" i="24"/>
  <c r="C134" i="24"/>
  <c r="C133" i="24"/>
  <c r="C132" i="24"/>
  <c r="C131" i="24"/>
  <c r="L130" i="24"/>
  <c r="K130" i="24"/>
  <c r="H130" i="24"/>
  <c r="E130" i="24"/>
  <c r="L129" i="24"/>
  <c r="K129" i="24"/>
  <c r="H129" i="24"/>
  <c r="E129" i="24"/>
  <c r="L128" i="24"/>
  <c r="K128" i="24"/>
  <c r="H128" i="24"/>
  <c r="E128" i="24"/>
  <c r="L127" i="24"/>
  <c r="K127" i="24"/>
  <c r="H127" i="24"/>
  <c r="E127" i="24"/>
  <c r="L126" i="24"/>
  <c r="K126" i="24"/>
  <c r="H126" i="24"/>
  <c r="E126" i="24"/>
  <c r="L125" i="24"/>
  <c r="K125" i="24"/>
  <c r="H125" i="24"/>
  <c r="E125" i="24"/>
  <c r="L124" i="24"/>
  <c r="K124" i="24"/>
  <c r="H124" i="24"/>
  <c r="E124" i="24"/>
  <c r="L123" i="24"/>
  <c r="K123" i="24"/>
  <c r="H123" i="24"/>
  <c r="E123" i="24"/>
  <c r="L122" i="24"/>
  <c r="K122" i="24"/>
  <c r="H122" i="24"/>
  <c r="E122" i="24"/>
  <c r="L121" i="24"/>
  <c r="K121" i="24"/>
  <c r="H121" i="24"/>
  <c r="E121" i="24"/>
  <c r="L120" i="24"/>
  <c r="K120" i="24"/>
  <c r="H120" i="24"/>
  <c r="E120" i="24"/>
  <c r="L119" i="24"/>
  <c r="K119" i="24"/>
  <c r="H119" i="24"/>
  <c r="E119" i="24"/>
  <c r="L118" i="24"/>
  <c r="K118" i="24"/>
  <c r="H118" i="24"/>
  <c r="E118" i="24"/>
  <c r="L117" i="24"/>
  <c r="K117" i="24"/>
  <c r="H117" i="24"/>
  <c r="E117" i="24"/>
  <c r="L116" i="24"/>
  <c r="K116" i="24"/>
  <c r="H116" i="24"/>
  <c r="E116" i="24"/>
  <c r="L111" i="24"/>
  <c r="K111" i="24"/>
  <c r="H111" i="24"/>
  <c r="E111" i="24"/>
  <c r="L110" i="24"/>
  <c r="K110" i="24"/>
  <c r="H110" i="24"/>
  <c r="E110" i="24"/>
  <c r="L109" i="24"/>
  <c r="K109" i="24"/>
  <c r="H109" i="24"/>
  <c r="E109" i="24"/>
  <c r="L108" i="24"/>
  <c r="K108" i="24"/>
  <c r="H108" i="24"/>
  <c r="E108" i="24"/>
  <c r="L107" i="24"/>
  <c r="K107" i="24"/>
  <c r="H107" i="24"/>
  <c r="E107" i="24"/>
  <c r="L106" i="24"/>
  <c r="K106" i="24"/>
  <c r="H106" i="24"/>
  <c r="E106" i="24"/>
  <c r="L105" i="24"/>
  <c r="K105" i="24"/>
  <c r="H105" i="24"/>
  <c r="E105" i="24"/>
  <c r="L104" i="24"/>
  <c r="K104" i="24"/>
  <c r="H104" i="24"/>
  <c r="E104" i="24"/>
  <c r="L103" i="24"/>
  <c r="K103" i="24"/>
  <c r="H103" i="24"/>
  <c r="E103" i="24"/>
  <c r="L102" i="24"/>
  <c r="K102" i="24"/>
  <c r="H102" i="24"/>
  <c r="E102" i="24"/>
  <c r="L101" i="24"/>
  <c r="K101" i="24"/>
  <c r="H101" i="24"/>
  <c r="E101" i="24"/>
  <c r="L100" i="24"/>
  <c r="K100" i="24"/>
  <c r="H100" i="24"/>
  <c r="E100" i="24"/>
  <c r="L99" i="24"/>
  <c r="K99" i="24"/>
  <c r="H99" i="24"/>
  <c r="E99" i="24"/>
  <c r="L98" i="24"/>
  <c r="K98" i="24"/>
  <c r="H98" i="24"/>
  <c r="E98" i="24"/>
  <c r="L94" i="24"/>
  <c r="K94" i="24"/>
  <c r="H94" i="24"/>
  <c r="E94" i="24"/>
  <c r="L93" i="24"/>
  <c r="K93" i="24"/>
  <c r="H93" i="24"/>
  <c r="E93" i="24"/>
  <c r="L92" i="24"/>
  <c r="K92" i="24"/>
  <c r="H92" i="24"/>
  <c r="E92" i="24"/>
  <c r="L91" i="24"/>
  <c r="K91" i="24"/>
  <c r="H91" i="24"/>
  <c r="E91" i="24"/>
  <c r="L90" i="24"/>
  <c r="K90" i="24"/>
  <c r="H90" i="24"/>
  <c r="E90" i="24"/>
  <c r="L89" i="24"/>
  <c r="K89" i="24"/>
  <c r="H89" i="24"/>
  <c r="E89" i="24"/>
  <c r="L88" i="24"/>
  <c r="K88" i="24"/>
  <c r="H88" i="24"/>
  <c r="E88" i="24"/>
  <c r="L87" i="24"/>
  <c r="K87" i="24"/>
  <c r="H87" i="24"/>
  <c r="E87" i="24"/>
  <c r="L86" i="24"/>
  <c r="K86" i="24"/>
  <c r="H86" i="24"/>
  <c r="E86" i="24"/>
  <c r="L85" i="24"/>
  <c r="K85" i="24"/>
  <c r="H85" i="24"/>
  <c r="E85" i="24"/>
  <c r="L84" i="24"/>
  <c r="K84" i="24"/>
  <c r="H84" i="24"/>
  <c r="E84" i="24"/>
  <c r="L83" i="24"/>
  <c r="K83" i="24"/>
  <c r="H83" i="24"/>
  <c r="E83" i="24"/>
  <c r="L82" i="24"/>
  <c r="K82" i="24"/>
  <c r="H82" i="24"/>
  <c r="E82" i="24"/>
  <c r="L81" i="24"/>
  <c r="K81" i="24"/>
  <c r="H81" i="24"/>
  <c r="E81" i="24"/>
  <c r="L76" i="24"/>
  <c r="K76" i="24"/>
  <c r="H76" i="24"/>
  <c r="E76" i="24"/>
  <c r="L75" i="24"/>
  <c r="K75" i="24"/>
  <c r="H75" i="24"/>
  <c r="E75" i="24"/>
  <c r="L74" i="24"/>
  <c r="K74" i="24"/>
  <c r="H74" i="24"/>
  <c r="E74" i="24"/>
  <c r="L73" i="24"/>
  <c r="K73" i="24"/>
  <c r="H73" i="24"/>
  <c r="E73" i="24"/>
  <c r="L72" i="24"/>
  <c r="K72" i="24"/>
  <c r="H72" i="24"/>
  <c r="E72" i="24"/>
  <c r="L71" i="24"/>
  <c r="K71" i="24"/>
  <c r="H71" i="24"/>
  <c r="E71" i="24"/>
  <c r="L70" i="24"/>
  <c r="K70" i="24"/>
  <c r="H70" i="24"/>
  <c r="E70" i="24"/>
  <c r="L69" i="24"/>
  <c r="K69" i="24"/>
  <c r="H69" i="24"/>
  <c r="E69" i="24"/>
  <c r="L68" i="24"/>
  <c r="K68" i="24"/>
  <c r="H68" i="24"/>
  <c r="E68" i="24"/>
  <c r="L67" i="24"/>
  <c r="K67" i="24"/>
  <c r="H67" i="24"/>
  <c r="E67" i="24"/>
  <c r="L66" i="24"/>
  <c r="K66" i="24"/>
  <c r="H66" i="24"/>
  <c r="E66" i="24"/>
  <c r="L65" i="24"/>
  <c r="K65" i="24"/>
  <c r="H65" i="24"/>
  <c r="E65" i="24"/>
  <c r="L64" i="24"/>
  <c r="K64" i="24"/>
  <c r="H64" i="24"/>
  <c r="E64" i="24"/>
  <c r="L63" i="24"/>
  <c r="K63" i="24"/>
  <c r="H63" i="24"/>
  <c r="E63" i="24"/>
  <c r="L58" i="24"/>
  <c r="K58" i="24"/>
  <c r="H58" i="24"/>
  <c r="E58" i="24"/>
  <c r="L57" i="24"/>
  <c r="K57" i="24"/>
  <c r="H57" i="24"/>
  <c r="E57" i="24"/>
  <c r="L56" i="24"/>
  <c r="K56" i="24"/>
  <c r="H56" i="24"/>
  <c r="E56" i="24"/>
  <c r="L55" i="24"/>
  <c r="K55" i="24"/>
  <c r="H55" i="24"/>
  <c r="E55" i="24"/>
  <c r="L54" i="24"/>
  <c r="K54" i="24"/>
  <c r="H54" i="24"/>
  <c r="E54" i="24"/>
  <c r="L53" i="24"/>
  <c r="K53" i="24"/>
  <c r="H53" i="24"/>
  <c r="E53" i="24"/>
  <c r="L52" i="24"/>
  <c r="K52" i="24"/>
  <c r="H52" i="24"/>
  <c r="E52" i="24"/>
  <c r="L51" i="24"/>
  <c r="K51" i="24"/>
  <c r="H51" i="24"/>
  <c r="E51" i="24"/>
  <c r="L50" i="24"/>
  <c r="K50" i="24"/>
  <c r="H50" i="24"/>
  <c r="E50" i="24"/>
  <c r="L49" i="24"/>
  <c r="K49" i="24"/>
  <c r="H49" i="24"/>
  <c r="E49" i="24"/>
  <c r="L48" i="24"/>
  <c r="K48" i="24"/>
  <c r="H48" i="24"/>
  <c r="E48" i="24"/>
  <c r="L47" i="24"/>
  <c r="K47" i="24"/>
  <c r="H47" i="24"/>
  <c r="E47" i="24"/>
  <c r="L46" i="24"/>
  <c r="K46" i="24"/>
  <c r="H46" i="24"/>
  <c r="E46" i="24"/>
  <c r="L45" i="24"/>
  <c r="K45" i="24"/>
  <c r="H45" i="24"/>
  <c r="E45" i="24"/>
  <c r="L39" i="24"/>
  <c r="K39" i="24"/>
  <c r="H39" i="24"/>
  <c r="E39" i="24"/>
  <c r="L38" i="24"/>
  <c r="K38" i="24"/>
  <c r="H38" i="24"/>
  <c r="E38" i="24"/>
  <c r="L37" i="24"/>
  <c r="K37" i="24"/>
  <c r="H37" i="24"/>
  <c r="E37" i="24"/>
  <c r="L36" i="24"/>
  <c r="K36" i="24"/>
  <c r="H36" i="24"/>
  <c r="E36" i="24"/>
  <c r="L35" i="24"/>
  <c r="K35" i="24"/>
  <c r="H35" i="24"/>
  <c r="E35" i="24"/>
  <c r="L34" i="24"/>
  <c r="K34" i="24"/>
  <c r="H34" i="24"/>
  <c r="E34" i="24"/>
  <c r="L33" i="24"/>
  <c r="K33" i="24"/>
  <c r="H33" i="24"/>
  <c r="E33" i="24"/>
  <c r="L32" i="24"/>
  <c r="K32" i="24"/>
  <c r="H32" i="24"/>
  <c r="E32" i="24"/>
  <c r="L31" i="24"/>
  <c r="K31" i="24"/>
  <c r="H31" i="24"/>
  <c r="E31" i="24"/>
  <c r="L30" i="24"/>
  <c r="K30" i="24"/>
  <c r="H30" i="24"/>
  <c r="E30" i="24"/>
  <c r="L29" i="24"/>
  <c r="K29" i="24"/>
  <c r="H29" i="24"/>
  <c r="E29" i="24"/>
  <c r="L28" i="24"/>
  <c r="K28" i="24"/>
  <c r="H28" i="24"/>
  <c r="E28" i="24"/>
  <c r="L27" i="24"/>
  <c r="K27" i="24"/>
  <c r="H27" i="24"/>
  <c r="E27" i="24"/>
  <c r="L26" i="24"/>
  <c r="K26" i="24"/>
  <c r="H26" i="24"/>
  <c r="E26" i="24"/>
  <c r="L21" i="24"/>
  <c r="K21" i="24"/>
  <c r="H21" i="24"/>
  <c r="E21" i="24"/>
  <c r="L20" i="24"/>
  <c r="K20" i="24"/>
  <c r="H20" i="24"/>
  <c r="E20" i="24"/>
  <c r="L19" i="24"/>
  <c r="K19" i="24"/>
  <c r="H19" i="24"/>
  <c r="E19" i="24"/>
  <c r="L18" i="24"/>
  <c r="K18" i="24"/>
  <c r="H18" i="24"/>
  <c r="E18" i="24"/>
  <c r="L17" i="24"/>
  <c r="K17" i="24"/>
  <c r="H17" i="24"/>
  <c r="E17" i="24"/>
  <c r="L16" i="24"/>
  <c r="K16" i="24"/>
  <c r="H16" i="24"/>
  <c r="E16" i="24"/>
  <c r="L15" i="24"/>
  <c r="K15" i="24"/>
  <c r="H15" i="24"/>
  <c r="E15" i="24"/>
  <c r="L14" i="24"/>
  <c r="K14" i="24"/>
  <c r="H14" i="24"/>
  <c r="E14" i="24"/>
  <c r="L13" i="24"/>
  <c r="K13" i="24"/>
  <c r="H13" i="24"/>
  <c r="E13" i="24"/>
  <c r="L12" i="24"/>
  <c r="K12" i="24"/>
  <c r="H12" i="24"/>
  <c r="E12" i="24"/>
  <c r="L11" i="24"/>
  <c r="K11" i="24"/>
  <c r="H11" i="24"/>
  <c r="E11" i="24"/>
  <c r="L10" i="24"/>
  <c r="K10" i="24"/>
  <c r="H10" i="24"/>
  <c r="E10" i="24"/>
  <c r="L9" i="24"/>
  <c r="K9" i="24"/>
  <c r="H9" i="24"/>
  <c r="E9" i="24"/>
  <c r="L8" i="24"/>
  <c r="K8" i="24"/>
  <c r="H8" i="24"/>
  <c r="E8" i="24"/>
  <c r="K59" i="21"/>
  <c r="H59" i="21"/>
  <c r="E59" i="21"/>
  <c r="G53" i="21"/>
  <c r="K51" i="21"/>
  <c r="K50" i="21"/>
  <c r="H50" i="21"/>
  <c r="H51" i="21" s="1"/>
  <c r="E50" i="21"/>
  <c r="E51" i="21" s="1"/>
  <c r="G45" i="21"/>
  <c r="K43" i="21"/>
  <c r="H43" i="21"/>
  <c r="E43" i="21"/>
  <c r="L42" i="21"/>
  <c r="K42" i="21"/>
  <c r="H42" i="21"/>
  <c r="E42" i="21"/>
  <c r="G37" i="21"/>
  <c r="K35" i="21"/>
  <c r="H35" i="21"/>
  <c r="E35" i="21"/>
  <c r="G29" i="21"/>
  <c r="K27" i="21"/>
  <c r="H27" i="21"/>
  <c r="E27" i="21"/>
  <c r="L25" i="21"/>
  <c r="K25" i="21"/>
  <c r="H25" i="21"/>
  <c r="E25" i="21"/>
  <c r="G21" i="21"/>
  <c r="K19" i="21"/>
  <c r="H19" i="21"/>
  <c r="E19" i="21"/>
  <c r="L18" i="21"/>
  <c r="K18" i="21"/>
  <c r="H18" i="21"/>
  <c r="E18" i="21"/>
  <c r="G13" i="21"/>
  <c r="K11" i="21"/>
  <c r="H11" i="21"/>
  <c r="E11" i="21"/>
  <c r="G5" i="21"/>
  <c r="C62" i="22"/>
  <c r="K59" i="22"/>
  <c r="H59" i="22"/>
  <c r="E59" i="22"/>
  <c r="L56" i="22"/>
  <c r="K56" i="22"/>
  <c r="H56" i="22"/>
  <c r="E56" i="22"/>
  <c r="K51" i="22"/>
  <c r="H51" i="22"/>
  <c r="E51" i="22"/>
  <c r="L48" i="22"/>
  <c r="K48" i="22"/>
  <c r="H48" i="22"/>
  <c r="E48" i="22"/>
  <c r="K43" i="22"/>
  <c r="H43" i="22"/>
  <c r="E43" i="22"/>
  <c r="L40" i="22"/>
  <c r="K40" i="22"/>
  <c r="H40" i="22"/>
  <c r="E40" i="22"/>
  <c r="K35" i="22"/>
  <c r="H35" i="22"/>
  <c r="E35" i="22"/>
  <c r="L32" i="22"/>
  <c r="K32" i="22"/>
  <c r="H32" i="22"/>
  <c r="E32" i="22"/>
  <c r="K27" i="22"/>
  <c r="H27" i="22"/>
  <c r="E27" i="22"/>
  <c r="L25" i="22"/>
  <c r="K25" i="22"/>
  <c r="H25" i="22"/>
  <c r="E25" i="22"/>
  <c r="L24" i="22"/>
  <c r="K24" i="22"/>
  <c r="H24" i="22"/>
  <c r="E24" i="22"/>
  <c r="K19" i="22"/>
  <c r="H19" i="22"/>
  <c r="E19" i="22"/>
  <c r="L16" i="22"/>
  <c r="K16" i="22"/>
  <c r="H16" i="22"/>
  <c r="E16" i="22"/>
  <c r="K11" i="22"/>
  <c r="H11" i="22"/>
  <c r="E11" i="22"/>
  <c r="L9" i="22"/>
  <c r="K9" i="22"/>
  <c r="H9" i="22"/>
  <c r="E9" i="22"/>
  <c r="L8" i="22"/>
  <c r="K8" i="22"/>
  <c r="H8" i="22"/>
  <c r="E8" i="22"/>
  <c r="C64" i="41"/>
  <c r="C63" i="41"/>
  <c r="C62" i="41"/>
  <c r="L59" i="41"/>
  <c r="K59" i="41"/>
  <c r="H59" i="41"/>
  <c r="E59" i="41"/>
  <c r="L58" i="41"/>
  <c r="K58" i="41"/>
  <c r="H58" i="41"/>
  <c r="E58" i="41"/>
  <c r="L57" i="41"/>
  <c r="K57" i="41"/>
  <c r="H57" i="41"/>
  <c r="E57" i="41"/>
  <c r="L56" i="41"/>
  <c r="K56" i="41"/>
  <c r="H56" i="41"/>
  <c r="E56" i="41"/>
  <c r="H53" i="41"/>
  <c r="L51" i="41"/>
  <c r="K51" i="41"/>
  <c r="H51" i="41"/>
  <c r="E51" i="41"/>
  <c r="L50" i="41"/>
  <c r="K50" i="41"/>
  <c r="H50" i="41"/>
  <c r="E50" i="41"/>
  <c r="L49" i="41"/>
  <c r="K49" i="41"/>
  <c r="H49" i="41"/>
  <c r="E49" i="41"/>
  <c r="L48" i="41"/>
  <c r="K48" i="41"/>
  <c r="H48" i="41"/>
  <c r="E48" i="41"/>
  <c r="H45" i="41"/>
  <c r="L43" i="41"/>
  <c r="K43" i="41"/>
  <c r="H43" i="41"/>
  <c r="E43" i="41"/>
  <c r="L42" i="41"/>
  <c r="K42" i="41"/>
  <c r="H42" i="41"/>
  <c r="E42" i="41"/>
  <c r="L41" i="41"/>
  <c r="K41" i="41"/>
  <c r="H41" i="41"/>
  <c r="E41" i="41"/>
  <c r="L40" i="41"/>
  <c r="K40" i="41"/>
  <c r="H40" i="41"/>
  <c r="E40" i="41"/>
  <c r="U37" i="41"/>
  <c r="R37" i="41"/>
  <c r="H37" i="41"/>
  <c r="V36" i="41"/>
  <c r="R36" i="41"/>
  <c r="Q36" i="41"/>
  <c r="Q35" i="41"/>
  <c r="L35" i="41"/>
  <c r="K35" i="41"/>
  <c r="H35" i="41"/>
  <c r="E35" i="41"/>
  <c r="L34" i="41"/>
  <c r="K34" i="41"/>
  <c r="H34" i="41"/>
  <c r="E34" i="41"/>
  <c r="L33" i="41"/>
  <c r="K33" i="41"/>
  <c r="H33" i="41"/>
  <c r="E33" i="41"/>
  <c r="T32" i="41"/>
  <c r="L32" i="41"/>
  <c r="K32" i="41"/>
  <c r="H32" i="41"/>
  <c r="E32" i="41"/>
  <c r="V30" i="41"/>
  <c r="U30" i="41"/>
  <c r="T29" i="41"/>
  <c r="H29" i="41"/>
  <c r="T28" i="41"/>
  <c r="T27" i="41"/>
  <c r="L27" i="41"/>
  <c r="K27" i="41"/>
  <c r="H27" i="41"/>
  <c r="E27" i="41"/>
  <c r="L26" i="41"/>
  <c r="K26" i="41"/>
  <c r="H26" i="41"/>
  <c r="E26" i="41"/>
  <c r="L25" i="41"/>
  <c r="K25" i="41"/>
  <c r="H25" i="41"/>
  <c r="E25" i="41"/>
  <c r="L24" i="41"/>
  <c r="K24" i="41"/>
  <c r="H24" i="41"/>
  <c r="E24" i="41"/>
  <c r="T23" i="41"/>
  <c r="T22" i="41"/>
  <c r="P22" i="41"/>
  <c r="H21" i="41"/>
  <c r="L19" i="41"/>
  <c r="K19" i="41"/>
  <c r="H19" i="41"/>
  <c r="E19" i="41"/>
  <c r="T18" i="41"/>
  <c r="L18" i="41"/>
  <c r="K18" i="41"/>
  <c r="H18" i="41"/>
  <c r="E18" i="41"/>
  <c r="L17" i="41"/>
  <c r="K17" i="41"/>
  <c r="H17" i="41"/>
  <c r="E17" i="41"/>
  <c r="V16" i="41"/>
  <c r="U16" i="41"/>
  <c r="L16" i="41"/>
  <c r="K16" i="41"/>
  <c r="H16" i="41"/>
  <c r="E16" i="41"/>
  <c r="T15" i="41"/>
  <c r="T14" i="41"/>
  <c r="T13" i="41"/>
  <c r="H13" i="41"/>
  <c r="L11" i="41"/>
  <c r="K11" i="41"/>
  <c r="H11" i="41"/>
  <c r="E11" i="41"/>
  <c r="L10" i="41"/>
  <c r="K10" i="41"/>
  <c r="H10" i="41"/>
  <c r="E10" i="41"/>
  <c r="T9" i="41"/>
  <c r="L9" i="41"/>
  <c r="K9" i="41"/>
  <c r="H9" i="41"/>
  <c r="E9" i="41"/>
  <c r="T8" i="41"/>
  <c r="L8" i="41"/>
  <c r="K8" i="41"/>
  <c r="H8" i="41"/>
  <c r="E8" i="41"/>
  <c r="H5" i="41"/>
  <c r="L44" i="27"/>
  <c r="K44" i="27"/>
  <c r="H44" i="27"/>
  <c r="E44" i="27"/>
  <c r="L43" i="27"/>
  <c r="K43" i="27"/>
  <c r="H43" i="27"/>
  <c r="E43" i="27"/>
  <c r="H40" i="27"/>
  <c r="L38" i="27"/>
  <c r="K38" i="27"/>
  <c r="H38" i="27"/>
  <c r="E38" i="27"/>
  <c r="H35" i="27"/>
  <c r="L33" i="27"/>
  <c r="K33" i="27"/>
  <c r="H33" i="27"/>
  <c r="E33" i="27"/>
  <c r="L32" i="27"/>
  <c r="K32" i="27"/>
  <c r="H32" i="27"/>
  <c r="E32" i="27"/>
  <c r="H29" i="27"/>
  <c r="L27" i="27"/>
  <c r="K27" i="27"/>
  <c r="H27" i="27"/>
  <c r="E27" i="27"/>
  <c r="L26" i="27"/>
  <c r="K26" i="27"/>
  <c r="H26" i="27"/>
  <c r="E26" i="27"/>
  <c r="H23" i="27"/>
  <c r="L21" i="27"/>
  <c r="K21" i="27"/>
  <c r="H21" i="27"/>
  <c r="E21" i="27"/>
  <c r="L20" i="27"/>
  <c r="K20" i="27"/>
  <c r="H20" i="27"/>
  <c r="E20" i="27"/>
  <c r="H17" i="27"/>
  <c r="L15" i="27"/>
  <c r="K15" i="27"/>
  <c r="H15" i="27"/>
  <c r="E15" i="27"/>
  <c r="L14" i="27"/>
  <c r="K14" i="27"/>
  <c r="H14" i="27"/>
  <c r="E14" i="27"/>
  <c r="H11" i="27"/>
  <c r="L9" i="27"/>
  <c r="K9" i="27"/>
  <c r="H9" i="27"/>
  <c r="E9" i="27"/>
  <c r="L8" i="27"/>
  <c r="K8" i="27"/>
  <c r="H8" i="27"/>
  <c r="E8" i="27"/>
  <c r="H5" i="27"/>
  <c r="C73" i="17"/>
  <c r="C72" i="17"/>
  <c r="C71" i="17"/>
  <c r="L67" i="17"/>
  <c r="K67" i="17"/>
  <c r="H67" i="17"/>
  <c r="E67" i="17"/>
  <c r="L66" i="17"/>
  <c r="K66" i="17"/>
  <c r="H66" i="17"/>
  <c r="E66" i="17"/>
  <c r="L65" i="17"/>
  <c r="K65" i="17"/>
  <c r="H65" i="17"/>
  <c r="E65" i="17"/>
  <c r="L64" i="17"/>
  <c r="K64" i="17"/>
  <c r="H64" i="17"/>
  <c r="E64" i="17"/>
  <c r="H61" i="17"/>
  <c r="L59" i="17"/>
  <c r="K59" i="17"/>
  <c r="H59" i="17"/>
  <c r="E59" i="17"/>
  <c r="L58" i="17"/>
  <c r="K58" i="17"/>
  <c r="H58" i="17"/>
  <c r="E58" i="17"/>
  <c r="L57" i="17"/>
  <c r="K57" i="17"/>
  <c r="H57" i="17"/>
  <c r="E57" i="17"/>
  <c r="L56" i="17"/>
  <c r="K56" i="17"/>
  <c r="H56" i="17"/>
  <c r="E56" i="17"/>
  <c r="H53" i="17"/>
  <c r="L51" i="17"/>
  <c r="K51" i="17"/>
  <c r="H51" i="17"/>
  <c r="E51" i="17"/>
  <c r="L50" i="17"/>
  <c r="K50" i="17"/>
  <c r="H50" i="17"/>
  <c r="E50" i="17"/>
  <c r="L49" i="17"/>
  <c r="K49" i="17"/>
  <c r="H49" i="17"/>
  <c r="E49" i="17"/>
  <c r="L48" i="17"/>
  <c r="K48" i="17"/>
  <c r="H48" i="17"/>
  <c r="E48" i="17"/>
  <c r="H45" i="17"/>
  <c r="L43" i="17"/>
  <c r="K43" i="17"/>
  <c r="H43" i="17"/>
  <c r="E43" i="17"/>
  <c r="L42" i="17"/>
  <c r="K42" i="17"/>
  <c r="H42" i="17"/>
  <c r="E42" i="17"/>
  <c r="L41" i="17"/>
  <c r="K41" i="17"/>
  <c r="H41" i="17"/>
  <c r="E41" i="17"/>
  <c r="L40" i="17"/>
  <c r="K40" i="17"/>
  <c r="H40" i="17"/>
  <c r="E40" i="17"/>
  <c r="H37" i="17"/>
  <c r="L35" i="17"/>
  <c r="K35" i="17"/>
  <c r="H35" i="17"/>
  <c r="E35" i="17"/>
  <c r="L34" i="17"/>
  <c r="K34" i="17"/>
  <c r="H34" i="17"/>
  <c r="E34" i="17"/>
  <c r="L33" i="17"/>
  <c r="K33" i="17"/>
  <c r="H33" i="17"/>
  <c r="E33" i="17"/>
  <c r="L32" i="17"/>
  <c r="K32" i="17"/>
  <c r="H32" i="17"/>
  <c r="E32" i="17"/>
  <c r="H29" i="17"/>
  <c r="L27" i="17"/>
  <c r="K27" i="17"/>
  <c r="H27" i="17"/>
  <c r="E27" i="17"/>
  <c r="L26" i="17"/>
  <c r="K26" i="17"/>
  <c r="H26" i="17"/>
  <c r="E26" i="17"/>
  <c r="L25" i="17"/>
  <c r="K25" i="17"/>
  <c r="H25" i="17"/>
  <c r="E25" i="17"/>
  <c r="L24" i="17"/>
  <c r="K24" i="17"/>
  <c r="H24" i="17"/>
  <c r="E24" i="17"/>
  <c r="H21" i="17"/>
  <c r="L19" i="17"/>
  <c r="K19" i="17"/>
  <c r="H19" i="17"/>
  <c r="E19" i="17"/>
  <c r="L18" i="17"/>
  <c r="K18" i="17"/>
  <c r="H18" i="17"/>
  <c r="E18" i="17"/>
  <c r="L17" i="17"/>
  <c r="K17" i="17"/>
  <c r="H17" i="17"/>
  <c r="E17" i="17"/>
  <c r="L16" i="17"/>
  <c r="K16" i="17"/>
  <c r="H16" i="17"/>
  <c r="E16" i="17"/>
  <c r="H13" i="17"/>
  <c r="L11" i="17"/>
  <c r="K11" i="17"/>
  <c r="H11" i="17"/>
  <c r="E11" i="17"/>
  <c r="L10" i="17"/>
  <c r="K10" i="17"/>
  <c r="H10" i="17"/>
  <c r="E10" i="17"/>
  <c r="L9" i="17"/>
  <c r="K9" i="17"/>
  <c r="H9" i="17"/>
  <c r="E9" i="17"/>
  <c r="L8" i="17"/>
  <c r="K8" i="17"/>
  <c r="H8" i="17"/>
  <c r="E8" i="17"/>
  <c r="H5" i="17"/>
  <c r="G5" i="17"/>
  <c r="L122" i="47"/>
  <c r="K122" i="47"/>
  <c r="H122" i="47"/>
  <c r="E122" i="47"/>
  <c r="L121" i="47"/>
  <c r="K121" i="47"/>
  <c r="H121" i="47"/>
  <c r="E121" i="47"/>
  <c r="L120" i="47"/>
  <c r="K120" i="47"/>
  <c r="H120" i="47"/>
  <c r="E120" i="47"/>
  <c r="L119" i="47"/>
  <c r="K119" i="47"/>
  <c r="H119" i="47"/>
  <c r="E119" i="47"/>
  <c r="L118" i="47"/>
  <c r="K118" i="47"/>
  <c r="H118" i="47"/>
  <c r="E118" i="47"/>
  <c r="L117" i="47"/>
  <c r="K117" i="47"/>
  <c r="H117" i="47"/>
  <c r="E117" i="47"/>
  <c r="L116" i="47"/>
  <c r="K116" i="47"/>
  <c r="H116" i="47"/>
  <c r="E116" i="47"/>
  <c r="L115" i="47"/>
  <c r="K115" i="47"/>
  <c r="H115" i="47"/>
  <c r="E115" i="47"/>
  <c r="L114" i="47"/>
  <c r="K114" i="47"/>
  <c r="H114" i="47"/>
  <c r="E114" i="47"/>
  <c r="L113" i="47"/>
  <c r="K113" i="47"/>
  <c r="H113" i="47"/>
  <c r="E113" i="47"/>
  <c r="L112" i="47"/>
  <c r="K112" i="47"/>
  <c r="H112" i="47"/>
  <c r="E112" i="47"/>
  <c r="L111" i="47"/>
  <c r="K111" i="47"/>
  <c r="H111" i="47"/>
  <c r="E111" i="47"/>
  <c r="L106" i="47"/>
  <c r="K106" i="47"/>
  <c r="H106" i="47"/>
  <c r="E106" i="47"/>
  <c r="L105" i="47"/>
  <c r="K105" i="47"/>
  <c r="H105" i="47"/>
  <c r="E105" i="47"/>
  <c r="L104" i="47"/>
  <c r="K104" i="47"/>
  <c r="H104" i="47"/>
  <c r="E104" i="47"/>
  <c r="L103" i="47"/>
  <c r="K103" i="47"/>
  <c r="H103" i="47"/>
  <c r="E103" i="47"/>
  <c r="L102" i="47"/>
  <c r="K102" i="47"/>
  <c r="H102" i="47"/>
  <c r="E102" i="47"/>
  <c r="L101" i="47"/>
  <c r="K101" i="47"/>
  <c r="H101" i="47"/>
  <c r="E101" i="47"/>
  <c r="L100" i="47"/>
  <c r="K100" i="47"/>
  <c r="H100" i="47"/>
  <c r="E100" i="47"/>
  <c r="L99" i="47"/>
  <c r="K99" i="47"/>
  <c r="H99" i="47"/>
  <c r="E99" i="47"/>
  <c r="L97" i="47"/>
  <c r="K97" i="47"/>
  <c r="H97" i="47"/>
  <c r="E97" i="47"/>
  <c r="L96" i="47"/>
  <c r="K96" i="47"/>
  <c r="H96" i="47"/>
  <c r="E96" i="47"/>
  <c r="L95" i="47"/>
  <c r="K95" i="47"/>
  <c r="H95" i="47"/>
  <c r="E95" i="47"/>
  <c r="L94" i="47"/>
  <c r="K94" i="47"/>
  <c r="H94" i="47"/>
  <c r="E94" i="47"/>
  <c r="L89" i="47"/>
  <c r="K89" i="47"/>
  <c r="H89" i="47"/>
  <c r="E89" i="47"/>
  <c r="L88" i="47"/>
  <c r="K88" i="47"/>
  <c r="H88" i="47"/>
  <c r="E88" i="47"/>
  <c r="L87" i="47"/>
  <c r="K87" i="47"/>
  <c r="H87" i="47"/>
  <c r="E87" i="47"/>
  <c r="L86" i="47"/>
  <c r="K86" i="47"/>
  <c r="H86" i="47"/>
  <c r="E86" i="47"/>
  <c r="L85" i="47"/>
  <c r="K85" i="47"/>
  <c r="H85" i="47"/>
  <c r="E85" i="47"/>
  <c r="L84" i="47"/>
  <c r="K84" i="47"/>
  <c r="H84" i="47"/>
  <c r="E84" i="47"/>
  <c r="L83" i="47"/>
  <c r="K83" i="47"/>
  <c r="H83" i="47"/>
  <c r="E83" i="47"/>
  <c r="L82" i="47"/>
  <c r="K82" i="47"/>
  <c r="H82" i="47"/>
  <c r="E82" i="47"/>
  <c r="L81" i="47"/>
  <c r="K81" i="47"/>
  <c r="H81" i="47"/>
  <c r="E81" i="47"/>
  <c r="L80" i="47"/>
  <c r="K80" i="47"/>
  <c r="H80" i="47"/>
  <c r="E80" i="47"/>
  <c r="L79" i="47"/>
  <c r="K79" i="47"/>
  <c r="H79" i="47"/>
  <c r="E79" i="47"/>
  <c r="L78" i="47"/>
  <c r="K78" i="47"/>
  <c r="H78" i="47"/>
  <c r="E78" i="47"/>
  <c r="L72" i="47"/>
  <c r="K72" i="47"/>
  <c r="H72" i="47"/>
  <c r="E72" i="47"/>
  <c r="L71" i="47"/>
  <c r="K71" i="47"/>
  <c r="H71" i="47"/>
  <c r="E71" i="47"/>
  <c r="L70" i="47"/>
  <c r="K70" i="47"/>
  <c r="H70" i="47"/>
  <c r="E70" i="47"/>
  <c r="L69" i="47"/>
  <c r="K69" i="47"/>
  <c r="H69" i="47"/>
  <c r="E69" i="47"/>
  <c r="L68" i="47"/>
  <c r="K68" i="47"/>
  <c r="H68" i="47"/>
  <c r="E68" i="47"/>
  <c r="L67" i="47"/>
  <c r="K67" i="47"/>
  <c r="H67" i="47"/>
  <c r="E67" i="47"/>
  <c r="L66" i="47"/>
  <c r="K66" i="47"/>
  <c r="H66" i="47"/>
  <c r="E66" i="47"/>
  <c r="L65" i="47"/>
  <c r="K65" i="47"/>
  <c r="H65" i="47"/>
  <c r="E65" i="47"/>
  <c r="L64" i="47"/>
  <c r="K64" i="47"/>
  <c r="H64" i="47"/>
  <c r="E64" i="47"/>
  <c r="L63" i="47"/>
  <c r="K63" i="47"/>
  <c r="H63" i="47"/>
  <c r="E63" i="47"/>
  <c r="L62" i="47"/>
  <c r="K62" i="47"/>
  <c r="H62" i="47"/>
  <c r="E62" i="47"/>
  <c r="L61" i="47"/>
  <c r="K61" i="47"/>
  <c r="E61" i="47"/>
  <c r="L60" i="47"/>
  <c r="K60" i="47"/>
  <c r="H60" i="47"/>
  <c r="E60" i="47"/>
  <c r="L53" i="47"/>
  <c r="K53" i="47"/>
  <c r="H53" i="47"/>
  <c r="E53" i="47"/>
  <c r="L52" i="47"/>
  <c r="K52" i="47"/>
  <c r="H52" i="47"/>
  <c r="E52" i="47"/>
  <c r="L51" i="47"/>
  <c r="K51" i="47"/>
  <c r="H51" i="47"/>
  <c r="E51" i="47"/>
  <c r="L50" i="47"/>
  <c r="K50" i="47"/>
  <c r="H50" i="47"/>
  <c r="E50" i="47"/>
  <c r="L49" i="47"/>
  <c r="K49" i="47"/>
  <c r="H49" i="47"/>
  <c r="E49" i="47"/>
  <c r="L48" i="47"/>
  <c r="K48" i="47"/>
  <c r="H48" i="47"/>
  <c r="E48" i="47"/>
  <c r="L47" i="47"/>
  <c r="K47" i="47"/>
  <c r="H47" i="47"/>
  <c r="E47" i="47"/>
  <c r="L46" i="47"/>
  <c r="K46" i="47"/>
  <c r="H46" i="47"/>
  <c r="E46" i="47"/>
  <c r="L45" i="47"/>
  <c r="K45" i="47"/>
  <c r="H45" i="47"/>
  <c r="E45" i="47"/>
  <c r="L44" i="47"/>
  <c r="K44" i="47"/>
  <c r="H44" i="47"/>
  <c r="E44" i="47"/>
  <c r="L43" i="47"/>
  <c r="K43" i="47"/>
  <c r="H43" i="47"/>
  <c r="E43" i="47"/>
  <c r="L42" i="47"/>
  <c r="K42" i="47"/>
  <c r="H42" i="47"/>
  <c r="E42" i="47"/>
  <c r="L41" i="47"/>
  <c r="K41" i="47"/>
  <c r="H41" i="47"/>
  <c r="E41" i="47"/>
  <c r="L36" i="47"/>
  <c r="K36" i="47"/>
  <c r="H36" i="47"/>
  <c r="E36" i="47"/>
  <c r="L35" i="47"/>
  <c r="K35" i="47"/>
  <c r="H35" i="47"/>
  <c r="E35" i="47"/>
  <c r="L34" i="47"/>
  <c r="K34" i="47"/>
  <c r="H34" i="47"/>
  <c r="E34" i="47"/>
  <c r="L33" i="47"/>
  <c r="K33" i="47"/>
  <c r="H33" i="47"/>
  <c r="E33" i="47"/>
  <c r="L32" i="47"/>
  <c r="K32" i="47"/>
  <c r="H32" i="47"/>
  <c r="E32" i="47"/>
  <c r="L31" i="47"/>
  <c r="K31" i="47"/>
  <c r="H31" i="47"/>
  <c r="E31" i="47"/>
  <c r="L30" i="47"/>
  <c r="K30" i="47"/>
  <c r="H30" i="47"/>
  <c r="E30" i="47"/>
  <c r="L29" i="47"/>
  <c r="K29" i="47"/>
  <c r="H29" i="47"/>
  <c r="E29" i="47"/>
  <c r="L28" i="47"/>
  <c r="K28" i="47"/>
  <c r="H28" i="47"/>
  <c r="E28" i="47"/>
  <c r="L27" i="47"/>
  <c r="K27" i="47"/>
  <c r="H27" i="47"/>
  <c r="E27" i="47"/>
  <c r="L26" i="47"/>
  <c r="K26" i="47"/>
  <c r="H26" i="47"/>
  <c r="E26" i="47"/>
  <c r="L25" i="47"/>
  <c r="K25" i="47"/>
  <c r="H25" i="47"/>
  <c r="E25" i="47"/>
  <c r="L20" i="47"/>
  <c r="K20" i="47"/>
  <c r="H20" i="47"/>
  <c r="E20" i="47"/>
  <c r="L19" i="47"/>
  <c r="K19" i="47"/>
  <c r="H19" i="47"/>
  <c r="E19" i="47"/>
  <c r="L18" i="47"/>
  <c r="K18" i="47"/>
  <c r="H18" i="47"/>
  <c r="E18" i="47"/>
  <c r="L17" i="47"/>
  <c r="K17" i="47"/>
  <c r="H17" i="47"/>
  <c r="E17" i="47"/>
  <c r="L16" i="47"/>
  <c r="K16" i="47"/>
  <c r="H16" i="47"/>
  <c r="E16" i="47"/>
  <c r="L15" i="47"/>
  <c r="K15" i="47"/>
  <c r="H15" i="47"/>
  <c r="E15" i="47"/>
  <c r="L14" i="47"/>
  <c r="K14" i="47"/>
  <c r="H14" i="47"/>
  <c r="E14" i="47"/>
  <c r="L13" i="47"/>
  <c r="K13" i="47"/>
  <c r="H13" i="47"/>
  <c r="E13" i="47"/>
  <c r="L12" i="47"/>
  <c r="K12" i="47"/>
  <c r="H12" i="47"/>
  <c r="E12" i="47"/>
  <c r="L11" i="47"/>
  <c r="K11" i="47"/>
  <c r="H11" i="47"/>
  <c r="E11" i="47"/>
  <c r="L10" i="47"/>
  <c r="K10" i="47"/>
  <c r="H10" i="47"/>
  <c r="E10" i="47"/>
  <c r="L9" i="47"/>
  <c r="K9" i="47"/>
  <c r="H9" i="47"/>
  <c r="E9" i="47"/>
  <c r="L8" i="47"/>
  <c r="K8" i="47"/>
  <c r="H8" i="47"/>
  <c r="E8" i="47"/>
  <c r="C87" i="18"/>
  <c r="C86" i="18"/>
  <c r="C85" i="18"/>
  <c r="C84" i="18"/>
  <c r="C83" i="18"/>
  <c r="C82" i="18"/>
  <c r="L80" i="18"/>
  <c r="K80" i="18"/>
  <c r="H80" i="18"/>
  <c r="E80" i="18"/>
  <c r="L79" i="18"/>
  <c r="K79" i="18"/>
  <c r="H79" i="18"/>
  <c r="E79" i="18"/>
  <c r="L78" i="18"/>
  <c r="K78" i="18"/>
  <c r="H78" i="18"/>
  <c r="E78" i="18"/>
  <c r="L77" i="18"/>
  <c r="K77" i="18"/>
  <c r="H77" i="18"/>
  <c r="E77" i="18"/>
  <c r="L76" i="18"/>
  <c r="K76" i="18"/>
  <c r="H76" i="18"/>
  <c r="E76" i="18"/>
  <c r="L75" i="18"/>
  <c r="K75" i="18"/>
  <c r="H75" i="18"/>
  <c r="E75" i="18"/>
  <c r="L74" i="18"/>
  <c r="K74" i="18"/>
  <c r="H74" i="18"/>
  <c r="E74" i="18"/>
  <c r="L69" i="18"/>
  <c r="K69" i="18"/>
  <c r="H69" i="18"/>
  <c r="E69" i="18"/>
  <c r="L68" i="18"/>
  <c r="K68" i="18"/>
  <c r="H68" i="18"/>
  <c r="E68" i="18"/>
  <c r="L67" i="18"/>
  <c r="K67" i="18"/>
  <c r="H67" i="18"/>
  <c r="E67" i="18"/>
  <c r="L66" i="18"/>
  <c r="K66" i="18"/>
  <c r="H66" i="18"/>
  <c r="E66" i="18"/>
  <c r="L65" i="18"/>
  <c r="K65" i="18"/>
  <c r="H65" i="18"/>
  <c r="E65" i="18"/>
  <c r="L64" i="18"/>
  <c r="K64" i="18"/>
  <c r="H64" i="18"/>
  <c r="E64" i="18"/>
  <c r="L63" i="18"/>
  <c r="K63" i="18"/>
  <c r="H63" i="18"/>
  <c r="E63" i="18"/>
  <c r="L58" i="18"/>
  <c r="K58" i="18"/>
  <c r="H58" i="18"/>
  <c r="E58" i="18"/>
  <c r="L57" i="18"/>
  <c r="K57" i="18"/>
  <c r="H57" i="18"/>
  <c r="E57" i="18"/>
  <c r="L56" i="18"/>
  <c r="K56" i="18"/>
  <c r="H56" i="18"/>
  <c r="E56" i="18"/>
  <c r="L55" i="18"/>
  <c r="K55" i="18"/>
  <c r="H55" i="18"/>
  <c r="E55" i="18"/>
  <c r="L54" i="18"/>
  <c r="K54" i="18"/>
  <c r="H54" i="18"/>
  <c r="E54" i="18"/>
  <c r="L53" i="18"/>
  <c r="K53" i="18"/>
  <c r="H53" i="18"/>
  <c r="E53" i="18"/>
  <c r="L52" i="18"/>
  <c r="K52" i="18"/>
  <c r="H52" i="18"/>
  <c r="E52" i="18"/>
  <c r="L47" i="18"/>
  <c r="K47" i="18"/>
  <c r="H47" i="18"/>
  <c r="E47" i="18"/>
  <c r="L46" i="18"/>
  <c r="K46" i="18"/>
  <c r="H46" i="18"/>
  <c r="E46" i="18"/>
  <c r="L45" i="18"/>
  <c r="K45" i="18"/>
  <c r="H45" i="18"/>
  <c r="E45" i="18"/>
  <c r="L44" i="18"/>
  <c r="K44" i="18"/>
  <c r="H44" i="18"/>
  <c r="E44" i="18"/>
  <c r="L43" i="18"/>
  <c r="K43" i="18"/>
  <c r="H43" i="18"/>
  <c r="E43" i="18"/>
  <c r="L42" i="18"/>
  <c r="K42" i="18"/>
  <c r="H42" i="18"/>
  <c r="E42" i="18"/>
  <c r="L41" i="18"/>
  <c r="K41" i="18"/>
  <c r="H41" i="18"/>
  <c r="E41" i="18"/>
  <c r="L36" i="18"/>
  <c r="K36" i="18"/>
  <c r="H36" i="18"/>
  <c r="E36" i="18"/>
  <c r="L35" i="18"/>
  <c r="K35" i="18"/>
  <c r="H35" i="18"/>
  <c r="E35" i="18"/>
  <c r="L34" i="18"/>
  <c r="K34" i="18"/>
  <c r="H34" i="18"/>
  <c r="E34" i="18"/>
  <c r="L33" i="18"/>
  <c r="K33" i="18"/>
  <c r="H33" i="18"/>
  <c r="E33" i="18"/>
  <c r="L32" i="18"/>
  <c r="K32" i="18"/>
  <c r="H32" i="18"/>
  <c r="E32" i="18"/>
  <c r="L31" i="18"/>
  <c r="K31" i="18"/>
  <c r="H31" i="18"/>
  <c r="E31" i="18"/>
  <c r="L30" i="18"/>
  <c r="K30" i="18"/>
  <c r="H30" i="18"/>
  <c r="E30" i="18"/>
  <c r="L25" i="18"/>
  <c r="K25" i="18"/>
  <c r="H25" i="18"/>
  <c r="E25" i="18"/>
  <c r="L24" i="18"/>
  <c r="K24" i="18"/>
  <c r="H24" i="18"/>
  <c r="E24" i="18"/>
  <c r="L23" i="18"/>
  <c r="K23" i="18"/>
  <c r="H23" i="18"/>
  <c r="E23" i="18"/>
  <c r="L22" i="18"/>
  <c r="K22" i="18"/>
  <c r="H22" i="18"/>
  <c r="E22" i="18"/>
  <c r="L21" i="18"/>
  <c r="K21" i="18"/>
  <c r="H21" i="18"/>
  <c r="E21" i="18"/>
  <c r="L20" i="18"/>
  <c r="K20" i="18"/>
  <c r="H20" i="18"/>
  <c r="E20" i="18"/>
  <c r="L19" i="18"/>
  <c r="K19" i="18"/>
  <c r="H19" i="18"/>
  <c r="E19" i="18"/>
  <c r="L14" i="18"/>
  <c r="K14" i="18"/>
  <c r="H14" i="18"/>
  <c r="E14" i="18"/>
  <c r="L13" i="18"/>
  <c r="K13" i="18"/>
  <c r="H13" i="18"/>
  <c r="E13" i="18"/>
  <c r="L12" i="18"/>
  <c r="K12" i="18"/>
  <c r="H12" i="18"/>
  <c r="E12" i="18"/>
  <c r="L11" i="18"/>
  <c r="K11" i="18"/>
  <c r="H11" i="18"/>
  <c r="E11" i="18"/>
  <c r="L10" i="18"/>
  <c r="K10" i="18"/>
  <c r="H10" i="18"/>
  <c r="E10" i="18"/>
  <c r="L9" i="18"/>
  <c r="K9" i="18"/>
  <c r="H9" i="18"/>
  <c r="E9" i="18"/>
  <c r="L8" i="18"/>
  <c r="K8" i="18"/>
  <c r="H8" i="18"/>
  <c r="E8" i="18"/>
  <c r="C158" i="38"/>
  <c r="C157" i="38"/>
  <c r="C156" i="38"/>
  <c r="C155" i="38"/>
  <c r="C154" i="38"/>
  <c r="C153" i="38"/>
  <c r="C152" i="38"/>
  <c r="C151" i="38"/>
  <c r="C150" i="38"/>
  <c r="C149" i="38"/>
  <c r="L147" i="38"/>
  <c r="K147" i="38"/>
  <c r="H147" i="38"/>
  <c r="E147" i="38"/>
  <c r="L146" i="38"/>
  <c r="K146" i="38"/>
  <c r="H146" i="38"/>
  <c r="E146" i="38"/>
  <c r="L145" i="38"/>
  <c r="K145" i="38"/>
  <c r="H145" i="38"/>
  <c r="E145" i="38"/>
  <c r="L144" i="38"/>
  <c r="K144" i="38"/>
  <c r="H144" i="38"/>
  <c r="E144" i="38"/>
  <c r="L143" i="38"/>
  <c r="K143" i="38"/>
  <c r="H143" i="38"/>
  <c r="E143" i="38"/>
  <c r="L142" i="38"/>
  <c r="K142" i="38"/>
  <c r="H142" i="38"/>
  <c r="E142" i="38"/>
  <c r="L141" i="38"/>
  <c r="K141" i="38"/>
  <c r="H141" i="38"/>
  <c r="E141" i="38"/>
  <c r="L140" i="38"/>
  <c r="K140" i="38"/>
  <c r="H140" i="38"/>
  <c r="E140" i="38"/>
  <c r="L139" i="38"/>
  <c r="K139" i="38"/>
  <c r="H139" i="38"/>
  <c r="E139" i="38"/>
  <c r="L138" i="38"/>
  <c r="K138" i="38"/>
  <c r="H138" i="38"/>
  <c r="E138" i="38"/>
  <c r="L137" i="38"/>
  <c r="K137" i="38"/>
  <c r="H137" i="38"/>
  <c r="E137" i="38"/>
  <c r="L136" i="38"/>
  <c r="K136" i="38"/>
  <c r="H136" i="38"/>
  <c r="E136" i="38"/>
  <c r="L135" i="38"/>
  <c r="K135" i="38"/>
  <c r="H135" i="38"/>
  <c r="E135" i="38"/>
  <c r="L134" i="38"/>
  <c r="K134" i="38"/>
  <c r="H134" i="38"/>
  <c r="E134" i="38"/>
  <c r="H131" i="38"/>
  <c r="C131" i="38"/>
  <c r="L130" i="38"/>
  <c r="K130" i="38"/>
  <c r="H130" i="38"/>
  <c r="E130" i="38"/>
  <c r="L129" i="38"/>
  <c r="K129" i="38"/>
  <c r="H129" i="38"/>
  <c r="E129" i="38"/>
  <c r="L128" i="38"/>
  <c r="K128" i="38"/>
  <c r="H128" i="38"/>
  <c r="E128" i="38"/>
  <c r="L127" i="38"/>
  <c r="K127" i="38"/>
  <c r="H127" i="38"/>
  <c r="E127" i="38"/>
  <c r="L126" i="38"/>
  <c r="K126" i="38"/>
  <c r="H126" i="38"/>
  <c r="E126" i="38"/>
  <c r="L125" i="38"/>
  <c r="K125" i="38"/>
  <c r="H125" i="38"/>
  <c r="E125" i="38"/>
  <c r="L124" i="38"/>
  <c r="K124" i="38"/>
  <c r="H124" i="38"/>
  <c r="E124" i="38"/>
  <c r="L123" i="38"/>
  <c r="K123" i="38"/>
  <c r="H123" i="38"/>
  <c r="E123" i="38"/>
  <c r="L122" i="38"/>
  <c r="K122" i="38"/>
  <c r="H122" i="38"/>
  <c r="E122" i="38"/>
  <c r="L121" i="38"/>
  <c r="K121" i="38"/>
  <c r="H121" i="38"/>
  <c r="E121" i="38"/>
  <c r="L120" i="38"/>
  <c r="K120" i="38"/>
  <c r="H120" i="38"/>
  <c r="E120" i="38"/>
  <c r="L119" i="38"/>
  <c r="K119" i="38"/>
  <c r="H119" i="38"/>
  <c r="E119" i="38"/>
  <c r="L118" i="38"/>
  <c r="K118" i="38"/>
  <c r="H118" i="38"/>
  <c r="E118" i="38"/>
  <c r="L117" i="38"/>
  <c r="K117" i="38"/>
  <c r="H117" i="38"/>
  <c r="E117" i="38"/>
  <c r="L116" i="38"/>
  <c r="K116" i="38"/>
  <c r="H116" i="38"/>
  <c r="E116" i="38"/>
  <c r="H113" i="38"/>
  <c r="C113" i="38"/>
  <c r="L112" i="38"/>
  <c r="K112" i="38"/>
  <c r="H112" i="38"/>
  <c r="E112" i="38"/>
  <c r="L111" i="38"/>
  <c r="K111" i="38"/>
  <c r="H111" i="38"/>
  <c r="E111" i="38"/>
  <c r="L110" i="38"/>
  <c r="K110" i="38"/>
  <c r="H110" i="38"/>
  <c r="E110" i="38"/>
  <c r="L109" i="38"/>
  <c r="K109" i="38"/>
  <c r="H109" i="38"/>
  <c r="E109" i="38"/>
  <c r="L108" i="38"/>
  <c r="K108" i="38"/>
  <c r="H108" i="38"/>
  <c r="E108" i="38"/>
  <c r="L107" i="38"/>
  <c r="K107" i="38"/>
  <c r="H107" i="38"/>
  <c r="E107" i="38"/>
  <c r="L106" i="38"/>
  <c r="K106" i="38"/>
  <c r="H106" i="38"/>
  <c r="E106" i="38"/>
  <c r="L105" i="38"/>
  <c r="K105" i="38"/>
  <c r="H105" i="38"/>
  <c r="E105" i="38"/>
  <c r="L104" i="38"/>
  <c r="K104" i="38"/>
  <c r="H104" i="38"/>
  <c r="E104" i="38"/>
  <c r="L103" i="38"/>
  <c r="K103" i="38"/>
  <c r="H103" i="38"/>
  <c r="E103" i="38"/>
  <c r="L102" i="38"/>
  <c r="K102" i="38"/>
  <c r="H102" i="38"/>
  <c r="E102" i="38"/>
  <c r="L101" i="38"/>
  <c r="K101" i="38"/>
  <c r="H101" i="38"/>
  <c r="E101" i="38"/>
  <c r="L100" i="38"/>
  <c r="K100" i="38"/>
  <c r="H100" i="38"/>
  <c r="E100" i="38"/>
  <c r="L99" i="38"/>
  <c r="K99" i="38"/>
  <c r="H99" i="38"/>
  <c r="E99" i="38"/>
  <c r="L98" i="38"/>
  <c r="K98" i="38"/>
  <c r="H98" i="38"/>
  <c r="E98" i="38"/>
  <c r="H95" i="38"/>
  <c r="C95" i="38"/>
  <c r="L94" i="38"/>
  <c r="K94" i="38"/>
  <c r="H94" i="38"/>
  <c r="E94" i="38"/>
  <c r="L93" i="38"/>
  <c r="K93" i="38"/>
  <c r="H93" i="38"/>
  <c r="E93" i="38"/>
  <c r="L92" i="38"/>
  <c r="K92" i="38"/>
  <c r="H92" i="38"/>
  <c r="E92" i="38"/>
  <c r="L91" i="38"/>
  <c r="K91" i="38"/>
  <c r="H91" i="38"/>
  <c r="E91" i="38"/>
  <c r="L90" i="38"/>
  <c r="K90" i="38"/>
  <c r="H90" i="38"/>
  <c r="E90" i="38"/>
  <c r="L89" i="38"/>
  <c r="K89" i="38"/>
  <c r="H89" i="38"/>
  <c r="E89" i="38"/>
  <c r="L88" i="38"/>
  <c r="K88" i="38"/>
  <c r="H88" i="38"/>
  <c r="E88" i="38"/>
  <c r="L87" i="38"/>
  <c r="K87" i="38"/>
  <c r="H87" i="38"/>
  <c r="E87" i="38"/>
  <c r="L86" i="38"/>
  <c r="K86" i="38"/>
  <c r="H86" i="38"/>
  <c r="E86" i="38"/>
  <c r="L85" i="38"/>
  <c r="K85" i="38"/>
  <c r="H85" i="38"/>
  <c r="E85" i="38"/>
  <c r="L84" i="38"/>
  <c r="K84" i="38"/>
  <c r="H84" i="38"/>
  <c r="E84" i="38"/>
  <c r="L83" i="38"/>
  <c r="K83" i="38"/>
  <c r="H83" i="38"/>
  <c r="E83" i="38"/>
  <c r="L82" i="38"/>
  <c r="K82" i="38"/>
  <c r="H82" i="38"/>
  <c r="E82" i="38"/>
  <c r="L81" i="38"/>
  <c r="K81" i="38"/>
  <c r="H81" i="38"/>
  <c r="E81" i="38"/>
  <c r="L80" i="38"/>
  <c r="K80" i="38"/>
  <c r="H80" i="38"/>
  <c r="E80" i="38"/>
  <c r="H77" i="38"/>
  <c r="C77" i="38"/>
  <c r="L76" i="38"/>
  <c r="K76" i="38"/>
  <c r="H76" i="38"/>
  <c r="E76" i="38"/>
  <c r="L75" i="38"/>
  <c r="K75" i="38"/>
  <c r="H75" i="38"/>
  <c r="E75" i="38"/>
  <c r="L74" i="38"/>
  <c r="K74" i="38"/>
  <c r="H74" i="38"/>
  <c r="E74" i="38"/>
  <c r="L73" i="38"/>
  <c r="K73" i="38"/>
  <c r="H73" i="38"/>
  <c r="E73" i="38"/>
  <c r="L72" i="38"/>
  <c r="K72" i="38"/>
  <c r="H72" i="38"/>
  <c r="E72" i="38"/>
  <c r="L71" i="38"/>
  <c r="K71" i="38"/>
  <c r="H71" i="38"/>
  <c r="E71" i="38"/>
  <c r="L70" i="38"/>
  <c r="K70" i="38"/>
  <c r="H70" i="38"/>
  <c r="E70" i="38"/>
  <c r="L69" i="38"/>
  <c r="K69" i="38"/>
  <c r="H69" i="38"/>
  <c r="E69" i="38"/>
  <c r="L68" i="38"/>
  <c r="K68" i="38"/>
  <c r="H68" i="38"/>
  <c r="E68" i="38"/>
  <c r="L67" i="38"/>
  <c r="K67" i="38"/>
  <c r="H67" i="38"/>
  <c r="E67" i="38"/>
  <c r="L66" i="38"/>
  <c r="K66" i="38"/>
  <c r="H66" i="38"/>
  <c r="E66" i="38"/>
  <c r="L65" i="38"/>
  <c r="K65" i="38"/>
  <c r="H65" i="38"/>
  <c r="E65" i="38"/>
  <c r="L64" i="38"/>
  <c r="K64" i="38"/>
  <c r="H64" i="38"/>
  <c r="E64" i="38"/>
  <c r="L63" i="38"/>
  <c r="K63" i="38"/>
  <c r="H63" i="38"/>
  <c r="E63" i="38"/>
  <c r="L62" i="38"/>
  <c r="K62" i="38"/>
  <c r="H62" i="38"/>
  <c r="E62" i="38"/>
  <c r="H59" i="38"/>
  <c r="C59" i="38"/>
  <c r="L57" i="38"/>
  <c r="K57" i="38"/>
  <c r="H57" i="38"/>
  <c r="E57" i="38"/>
  <c r="L56" i="38"/>
  <c r="K56" i="38"/>
  <c r="H56" i="38"/>
  <c r="E56" i="38"/>
  <c r="L55" i="38"/>
  <c r="K55" i="38"/>
  <c r="H55" i="38"/>
  <c r="E55" i="38"/>
  <c r="L54" i="38"/>
  <c r="K54" i="38"/>
  <c r="H54" i="38"/>
  <c r="E54" i="38"/>
  <c r="L53" i="38"/>
  <c r="K53" i="38"/>
  <c r="H53" i="38"/>
  <c r="E53" i="38"/>
  <c r="L52" i="38"/>
  <c r="K52" i="38"/>
  <c r="H52" i="38"/>
  <c r="E52" i="38"/>
  <c r="L51" i="38"/>
  <c r="K51" i="38"/>
  <c r="H51" i="38"/>
  <c r="E51" i="38"/>
  <c r="L50" i="38"/>
  <c r="K50" i="38"/>
  <c r="H50" i="38"/>
  <c r="E50" i="38"/>
  <c r="L49" i="38"/>
  <c r="K49" i="38"/>
  <c r="H49" i="38"/>
  <c r="E49" i="38"/>
  <c r="L48" i="38"/>
  <c r="K48" i="38"/>
  <c r="H48" i="38"/>
  <c r="E48" i="38"/>
  <c r="L47" i="38"/>
  <c r="K47" i="38"/>
  <c r="H47" i="38"/>
  <c r="E47" i="38"/>
  <c r="L46" i="38"/>
  <c r="K46" i="38"/>
  <c r="H46" i="38"/>
  <c r="E46" i="38"/>
  <c r="L45" i="38"/>
  <c r="K45" i="38"/>
  <c r="H45" i="38"/>
  <c r="E45" i="38"/>
  <c r="L44" i="38"/>
  <c r="K44" i="38"/>
  <c r="H44" i="38"/>
  <c r="E44" i="38"/>
  <c r="H41" i="38"/>
  <c r="C41" i="38"/>
  <c r="L39" i="38"/>
  <c r="K39" i="38"/>
  <c r="H39" i="38"/>
  <c r="E39" i="38"/>
  <c r="L38" i="38"/>
  <c r="K38" i="38"/>
  <c r="H38" i="38"/>
  <c r="E38" i="38"/>
  <c r="L37" i="38"/>
  <c r="K37" i="38"/>
  <c r="H37" i="38"/>
  <c r="E37" i="38"/>
  <c r="L36" i="38"/>
  <c r="K36" i="38"/>
  <c r="H36" i="38"/>
  <c r="E36" i="38"/>
  <c r="L35" i="38"/>
  <c r="K35" i="38"/>
  <c r="H35" i="38"/>
  <c r="E35" i="38"/>
  <c r="L34" i="38"/>
  <c r="K34" i="38"/>
  <c r="H34" i="38"/>
  <c r="E34" i="38"/>
  <c r="L33" i="38"/>
  <c r="K33" i="38"/>
  <c r="H33" i="38"/>
  <c r="E33" i="38"/>
  <c r="L32" i="38"/>
  <c r="K32" i="38"/>
  <c r="H32" i="38"/>
  <c r="E32" i="38"/>
  <c r="L31" i="38"/>
  <c r="K31" i="38"/>
  <c r="H31" i="38"/>
  <c r="E31" i="38"/>
  <c r="L30" i="38"/>
  <c r="K30" i="38"/>
  <c r="H30" i="38"/>
  <c r="E30" i="38"/>
  <c r="L29" i="38"/>
  <c r="K29" i="38"/>
  <c r="H29" i="38"/>
  <c r="E29" i="38"/>
  <c r="L28" i="38"/>
  <c r="K28" i="38"/>
  <c r="H28" i="38"/>
  <c r="E28" i="38"/>
  <c r="L27" i="38"/>
  <c r="K27" i="38"/>
  <c r="H27" i="38"/>
  <c r="E27" i="38"/>
  <c r="L26" i="38"/>
  <c r="K26" i="38"/>
  <c r="H26" i="38"/>
  <c r="E26" i="38"/>
  <c r="H23" i="38"/>
  <c r="C23" i="38"/>
  <c r="L21" i="38"/>
  <c r="K21" i="38"/>
  <c r="H21" i="38"/>
  <c r="E21" i="38"/>
  <c r="L20" i="38"/>
  <c r="K20" i="38"/>
  <c r="H20" i="38"/>
  <c r="E20" i="38"/>
  <c r="L19" i="38"/>
  <c r="K19" i="38"/>
  <c r="H19" i="38"/>
  <c r="E19" i="38"/>
  <c r="L18" i="38"/>
  <c r="K18" i="38"/>
  <c r="H18" i="38"/>
  <c r="E18" i="38"/>
  <c r="L17" i="38"/>
  <c r="K17" i="38"/>
  <c r="H17" i="38"/>
  <c r="E17" i="38"/>
  <c r="L16" i="38"/>
  <c r="K16" i="38"/>
  <c r="H16" i="38"/>
  <c r="E16" i="38"/>
  <c r="L15" i="38"/>
  <c r="K15" i="38"/>
  <c r="H15" i="38"/>
  <c r="E15" i="38"/>
  <c r="L14" i="38"/>
  <c r="K14" i="38"/>
  <c r="H14" i="38"/>
  <c r="E14" i="38"/>
  <c r="L13" i="38"/>
  <c r="K13" i="38"/>
  <c r="H13" i="38"/>
  <c r="E13" i="38"/>
  <c r="L12" i="38"/>
  <c r="K12" i="38"/>
  <c r="H12" i="38"/>
  <c r="E12" i="38"/>
  <c r="L11" i="38"/>
  <c r="K11" i="38"/>
  <c r="H11" i="38"/>
  <c r="E11" i="38"/>
  <c r="L10" i="38"/>
  <c r="K10" i="38"/>
  <c r="H10" i="38"/>
  <c r="E10" i="38"/>
  <c r="L9" i="38"/>
  <c r="K9" i="38"/>
  <c r="H9" i="38"/>
  <c r="E9" i="38"/>
  <c r="L8" i="38"/>
  <c r="K8" i="38"/>
  <c r="H8" i="38"/>
  <c r="E8" i="38"/>
  <c r="H5" i="38"/>
  <c r="G5" i="38"/>
  <c r="L86" i="42"/>
  <c r="K86" i="42"/>
  <c r="H86" i="42"/>
  <c r="E86" i="42"/>
  <c r="L85" i="42"/>
  <c r="K85" i="42"/>
  <c r="H85" i="42"/>
  <c r="E85" i="42"/>
  <c r="L84" i="42"/>
  <c r="K84" i="42"/>
  <c r="H84" i="42"/>
  <c r="E84" i="42"/>
  <c r="L83" i="42"/>
  <c r="K83" i="42"/>
  <c r="H83" i="42"/>
  <c r="E83" i="42"/>
  <c r="L82" i="42"/>
  <c r="K82" i="42"/>
  <c r="H82" i="42"/>
  <c r="E82" i="42"/>
  <c r="L81" i="42"/>
  <c r="K81" i="42"/>
  <c r="H81" i="42"/>
  <c r="E81" i="42"/>
  <c r="L80" i="42"/>
  <c r="K80" i="42"/>
  <c r="H80" i="42"/>
  <c r="E80" i="42"/>
  <c r="L75" i="42"/>
  <c r="K75" i="42"/>
  <c r="H75" i="42"/>
  <c r="E75" i="42"/>
  <c r="L74" i="42"/>
  <c r="K74" i="42"/>
  <c r="H74" i="42"/>
  <c r="E74" i="42"/>
  <c r="L73" i="42"/>
  <c r="K73" i="42"/>
  <c r="H73" i="42"/>
  <c r="E73" i="42"/>
  <c r="L72" i="42"/>
  <c r="K72" i="42"/>
  <c r="H72" i="42"/>
  <c r="E72" i="42"/>
  <c r="L71" i="42"/>
  <c r="K71" i="42"/>
  <c r="H71" i="42"/>
  <c r="E71" i="42"/>
  <c r="L70" i="42"/>
  <c r="K70" i="42"/>
  <c r="H70" i="42"/>
  <c r="E70" i="42"/>
  <c r="L69" i="42"/>
  <c r="K69" i="42"/>
  <c r="H69" i="42"/>
  <c r="E69" i="42"/>
  <c r="L68" i="42"/>
  <c r="K68" i="42"/>
  <c r="H68" i="42"/>
  <c r="E68" i="42"/>
  <c r="L63" i="42"/>
  <c r="K63" i="42"/>
  <c r="H63" i="42"/>
  <c r="E63" i="42"/>
  <c r="L62" i="42"/>
  <c r="K62" i="42"/>
  <c r="H62" i="42"/>
  <c r="E62" i="42"/>
  <c r="L61" i="42"/>
  <c r="K61" i="42"/>
  <c r="H61" i="42"/>
  <c r="E61" i="42"/>
  <c r="L60" i="42"/>
  <c r="K60" i="42"/>
  <c r="H60" i="42"/>
  <c r="E60" i="42"/>
  <c r="L59" i="42"/>
  <c r="K59" i="42"/>
  <c r="H59" i="42"/>
  <c r="E59" i="42"/>
  <c r="L58" i="42"/>
  <c r="K58" i="42"/>
  <c r="H58" i="42"/>
  <c r="E58" i="42"/>
  <c r="L57" i="42"/>
  <c r="K57" i="42"/>
  <c r="H57" i="42"/>
  <c r="E57" i="42"/>
  <c r="L52" i="42"/>
  <c r="K52" i="42"/>
  <c r="H52" i="42"/>
  <c r="E52" i="42"/>
  <c r="L51" i="42"/>
  <c r="K51" i="42"/>
  <c r="H51" i="42"/>
  <c r="E51" i="42"/>
  <c r="L50" i="42"/>
  <c r="K50" i="42"/>
  <c r="H50" i="42"/>
  <c r="E50" i="42"/>
  <c r="L49" i="42"/>
  <c r="K49" i="42"/>
  <c r="H49" i="42"/>
  <c r="E49" i="42"/>
  <c r="L48" i="42"/>
  <c r="K48" i="42"/>
  <c r="H48" i="42"/>
  <c r="E48" i="42"/>
  <c r="L47" i="42"/>
  <c r="K47" i="42"/>
  <c r="H47" i="42"/>
  <c r="E47" i="42"/>
  <c r="L46" i="42"/>
  <c r="K46" i="42"/>
  <c r="H46" i="42"/>
  <c r="E46" i="42"/>
  <c r="L41" i="42"/>
  <c r="K41" i="42"/>
  <c r="H41" i="42"/>
  <c r="E41" i="42"/>
  <c r="L40" i="42"/>
  <c r="K40" i="42"/>
  <c r="H40" i="42"/>
  <c r="E40" i="42"/>
  <c r="L39" i="42"/>
  <c r="K39" i="42"/>
  <c r="H39" i="42"/>
  <c r="E39" i="42"/>
  <c r="L38" i="42"/>
  <c r="K38" i="42"/>
  <c r="H38" i="42"/>
  <c r="E38" i="42"/>
  <c r="L37" i="42"/>
  <c r="K37" i="42"/>
  <c r="H37" i="42"/>
  <c r="E37" i="42"/>
  <c r="L36" i="42"/>
  <c r="K36" i="42"/>
  <c r="H36" i="42"/>
  <c r="E36" i="42"/>
  <c r="L35" i="42"/>
  <c r="K35" i="42"/>
  <c r="H35" i="42"/>
  <c r="E35" i="42"/>
  <c r="L34" i="42"/>
  <c r="K34" i="42"/>
  <c r="H34" i="42"/>
  <c r="E34" i="42"/>
  <c r="L33" i="42"/>
  <c r="K33" i="42"/>
  <c r="H33" i="42"/>
  <c r="E33" i="42"/>
  <c r="L28" i="42"/>
  <c r="K28" i="42"/>
  <c r="H28" i="42"/>
  <c r="E28" i="42"/>
  <c r="L27" i="42"/>
  <c r="K27" i="42"/>
  <c r="H27" i="42"/>
  <c r="E27" i="42"/>
  <c r="L26" i="42"/>
  <c r="K26" i="42"/>
  <c r="H26" i="42"/>
  <c r="E26" i="42"/>
  <c r="L25" i="42"/>
  <c r="K25" i="42"/>
  <c r="H25" i="42"/>
  <c r="E25" i="42"/>
  <c r="L24" i="42"/>
  <c r="K24" i="42"/>
  <c r="H24" i="42"/>
  <c r="E24" i="42"/>
  <c r="L23" i="42"/>
  <c r="K23" i="42"/>
  <c r="H23" i="42"/>
  <c r="E23" i="42"/>
  <c r="L22" i="42"/>
  <c r="K22" i="42"/>
  <c r="H22" i="42"/>
  <c r="E22" i="42"/>
  <c r="L16" i="42"/>
  <c r="K16" i="42"/>
  <c r="H16" i="42"/>
  <c r="E16" i="42"/>
  <c r="L15" i="42"/>
  <c r="K15" i="42"/>
  <c r="H15" i="42"/>
  <c r="E15" i="42"/>
  <c r="L14" i="42"/>
  <c r="K14" i="42"/>
  <c r="H14" i="42"/>
  <c r="E14" i="42"/>
  <c r="L13" i="42"/>
  <c r="K13" i="42"/>
  <c r="H13" i="42"/>
  <c r="E13" i="42"/>
  <c r="L12" i="42"/>
  <c r="K12" i="42"/>
  <c r="H12" i="42"/>
  <c r="E12" i="42"/>
  <c r="L11" i="42"/>
  <c r="K11" i="42"/>
  <c r="H11" i="42"/>
  <c r="E11" i="42"/>
  <c r="L10" i="42"/>
  <c r="K10" i="42"/>
  <c r="H10" i="42"/>
  <c r="E10" i="42"/>
  <c r="L9" i="42"/>
  <c r="K9" i="42"/>
  <c r="H9" i="42"/>
  <c r="E9" i="42"/>
  <c r="L8" i="42"/>
  <c r="K8" i="42"/>
  <c r="H8" i="42"/>
  <c r="E8" i="42"/>
  <c r="G5" i="42"/>
  <c r="L62" i="32"/>
  <c r="K62" i="32"/>
  <c r="H62" i="32"/>
  <c r="E62" i="32"/>
  <c r="L61" i="32"/>
  <c r="K61" i="32"/>
  <c r="H61" i="32"/>
  <c r="E61" i="32"/>
  <c r="L60" i="32"/>
  <c r="K60" i="32"/>
  <c r="H60" i="32"/>
  <c r="E60" i="32"/>
  <c r="L59" i="32"/>
  <c r="K59" i="32"/>
  <c r="H59" i="32"/>
  <c r="E59" i="32"/>
  <c r="H56" i="32"/>
  <c r="C56" i="32"/>
  <c r="L54" i="32"/>
  <c r="K54" i="32"/>
  <c r="H54" i="32"/>
  <c r="E54" i="32"/>
  <c r="L53" i="32"/>
  <c r="K53" i="32"/>
  <c r="H53" i="32"/>
  <c r="E53" i="32"/>
  <c r="L52" i="32"/>
  <c r="K52" i="32"/>
  <c r="H52" i="32"/>
  <c r="E52" i="32"/>
  <c r="L51" i="32"/>
  <c r="K51" i="32"/>
  <c r="H51" i="32"/>
  <c r="E51" i="32"/>
  <c r="H48" i="32"/>
  <c r="C48" i="32"/>
  <c r="L47" i="32"/>
  <c r="K47" i="32"/>
  <c r="H47" i="32"/>
  <c r="E47" i="32"/>
  <c r="L46" i="32"/>
  <c r="K46" i="32"/>
  <c r="H46" i="32"/>
  <c r="E46" i="32"/>
  <c r="L45" i="32"/>
  <c r="K45" i="32"/>
  <c r="H45" i="32"/>
  <c r="E45" i="32"/>
  <c r="L44" i="32"/>
  <c r="K44" i="32"/>
  <c r="H44" i="32"/>
  <c r="E44" i="32"/>
  <c r="H41" i="32"/>
  <c r="C41" i="32"/>
  <c r="L40" i="32"/>
  <c r="K40" i="32"/>
  <c r="H40" i="32"/>
  <c r="E40" i="32"/>
  <c r="L39" i="32"/>
  <c r="K39" i="32"/>
  <c r="H39" i="32"/>
  <c r="E39" i="32"/>
  <c r="L38" i="32"/>
  <c r="K38" i="32"/>
  <c r="H38" i="32"/>
  <c r="E38" i="32"/>
  <c r="L37" i="32"/>
  <c r="K37" i="32"/>
  <c r="H37" i="32"/>
  <c r="E37" i="32"/>
  <c r="H34" i="32"/>
  <c r="C34" i="32"/>
  <c r="L33" i="32"/>
  <c r="K33" i="32"/>
  <c r="H33" i="32"/>
  <c r="E33" i="32"/>
  <c r="L32" i="32"/>
  <c r="K32" i="32"/>
  <c r="H32" i="32"/>
  <c r="E32" i="32"/>
  <c r="L31" i="32"/>
  <c r="K31" i="32"/>
  <c r="H31" i="32"/>
  <c r="E31" i="32"/>
  <c r="L30" i="32"/>
  <c r="K30" i="32"/>
  <c r="H30" i="32"/>
  <c r="E30" i="32"/>
  <c r="H27" i="32"/>
  <c r="C27" i="32"/>
  <c r="L26" i="32"/>
  <c r="K26" i="32"/>
  <c r="H26" i="32"/>
  <c r="E26" i="32"/>
  <c r="L25" i="32"/>
  <c r="K25" i="32"/>
  <c r="H25" i="32"/>
  <c r="E25" i="32"/>
  <c r="L24" i="32"/>
  <c r="K24" i="32"/>
  <c r="H24" i="32"/>
  <c r="E24" i="32"/>
  <c r="L23" i="32"/>
  <c r="K23" i="32"/>
  <c r="H23" i="32"/>
  <c r="E23" i="32"/>
  <c r="H20" i="32"/>
  <c r="C20" i="32"/>
  <c r="L19" i="32"/>
  <c r="K19" i="32"/>
  <c r="H19" i="32"/>
  <c r="E19" i="32"/>
  <c r="L18" i="32"/>
  <c r="K18" i="32"/>
  <c r="H18" i="32"/>
  <c r="E18" i="32"/>
  <c r="L17" i="32"/>
  <c r="K17" i="32"/>
  <c r="H17" i="32"/>
  <c r="E17" i="32"/>
  <c r="L16" i="32"/>
  <c r="K16" i="32"/>
  <c r="H16" i="32"/>
  <c r="E16" i="32"/>
  <c r="H13" i="32"/>
  <c r="C13" i="32"/>
  <c r="L11" i="32"/>
  <c r="K11" i="32"/>
  <c r="H11" i="32"/>
  <c r="E11" i="32"/>
  <c r="L10" i="32"/>
  <c r="K10" i="32"/>
  <c r="H10" i="32"/>
  <c r="E10" i="32"/>
  <c r="L9" i="32"/>
  <c r="K9" i="32"/>
  <c r="H9" i="32"/>
  <c r="E9" i="32"/>
  <c r="L8" i="32"/>
  <c r="K8" i="32"/>
  <c r="H8" i="32"/>
  <c r="E8" i="32"/>
  <c r="H5" i="32"/>
  <c r="C58" i="33"/>
  <c r="C57" i="33"/>
  <c r="L54" i="33"/>
  <c r="K54" i="33"/>
  <c r="H54" i="33"/>
  <c r="E54" i="33"/>
  <c r="L53" i="33"/>
  <c r="K53" i="33"/>
  <c r="H53" i="33"/>
  <c r="E53" i="33"/>
  <c r="L52" i="33"/>
  <c r="K52" i="33"/>
  <c r="H52" i="33"/>
  <c r="E52" i="33"/>
  <c r="H49" i="33"/>
  <c r="C49" i="33"/>
  <c r="L47" i="33"/>
  <c r="K47" i="33"/>
  <c r="H47" i="33"/>
  <c r="E47" i="33"/>
  <c r="L46" i="33"/>
  <c r="K46" i="33"/>
  <c r="H46" i="33"/>
  <c r="E46" i="33"/>
  <c r="L45" i="33"/>
  <c r="K45" i="33"/>
  <c r="H45" i="33"/>
  <c r="E45" i="33"/>
  <c r="H42" i="33"/>
  <c r="C42" i="33"/>
  <c r="L41" i="33"/>
  <c r="K41" i="33"/>
  <c r="H41" i="33"/>
  <c r="E41" i="33"/>
  <c r="L40" i="33"/>
  <c r="K40" i="33"/>
  <c r="H40" i="33"/>
  <c r="E40" i="33"/>
  <c r="L39" i="33"/>
  <c r="K39" i="33"/>
  <c r="H39" i="33"/>
  <c r="E39" i="33"/>
  <c r="H36" i="33"/>
  <c r="C36" i="33"/>
  <c r="L35" i="33"/>
  <c r="K35" i="33"/>
  <c r="H35" i="33"/>
  <c r="E35" i="33"/>
  <c r="L34" i="33"/>
  <c r="K34" i="33"/>
  <c r="H34" i="33"/>
  <c r="E34" i="33"/>
  <c r="L33" i="33"/>
  <c r="K33" i="33"/>
  <c r="H33" i="33"/>
  <c r="E33" i="33"/>
  <c r="H30" i="33"/>
  <c r="C30" i="33"/>
  <c r="L29" i="33"/>
  <c r="K29" i="33"/>
  <c r="H29" i="33"/>
  <c r="E29" i="33"/>
  <c r="L28" i="33"/>
  <c r="K28" i="33"/>
  <c r="H28" i="33"/>
  <c r="E28" i="33"/>
  <c r="L27" i="33"/>
  <c r="K27" i="33"/>
  <c r="H27" i="33"/>
  <c r="E27" i="33"/>
  <c r="H24" i="33"/>
  <c r="C24" i="33"/>
  <c r="L23" i="33"/>
  <c r="K23" i="33"/>
  <c r="H23" i="33"/>
  <c r="E23" i="33"/>
  <c r="L22" i="33"/>
  <c r="K22" i="33"/>
  <c r="H22" i="33"/>
  <c r="E22" i="33"/>
  <c r="L21" i="33"/>
  <c r="K21" i="33"/>
  <c r="H21" i="33"/>
  <c r="E21" i="33"/>
  <c r="H18" i="33"/>
  <c r="C18" i="33"/>
  <c r="L17" i="33"/>
  <c r="K17" i="33"/>
  <c r="H17" i="33"/>
  <c r="E17" i="33"/>
  <c r="L16" i="33"/>
  <c r="K16" i="33"/>
  <c r="H16" i="33"/>
  <c r="E16" i="33"/>
  <c r="L15" i="33"/>
  <c r="K15" i="33"/>
  <c r="H15" i="33"/>
  <c r="E15" i="33"/>
  <c r="H12" i="33"/>
  <c r="C12" i="33"/>
  <c r="L10" i="33"/>
  <c r="K10" i="33"/>
  <c r="H10" i="33"/>
  <c r="E10" i="33"/>
  <c r="L9" i="33"/>
  <c r="K9" i="33"/>
  <c r="H9" i="33"/>
  <c r="E9" i="33"/>
  <c r="L8" i="33"/>
  <c r="K8" i="33"/>
  <c r="H8" i="33"/>
  <c r="E8" i="33"/>
  <c r="H5" i="33"/>
  <c r="C116" i="13"/>
  <c r="C115" i="13"/>
  <c r="C114" i="13"/>
  <c r="C113" i="13"/>
  <c r="L109" i="13"/>
  <c r="K109" i="13"/>
  <c r="H109" i="13"/>
  <c r="E109" i="13"/>
  <c r="L108" i="13"/>
  <c r="K108" i="13"/>
  <c r="H108" i="13"/>
  <c r="E108" i="13"/>
  <c r="L107" i="13"/>
  <c r="K107" i="13"/>
  <c r="H107" i="13"/>
  <c r="E107" i="13"/>
  <c r="L106" i="13"/>
  <c r="K106" i="13"/>
  <c r="H106" i="13"/>
  <c r="E106" i="13"/>
  <c r="L105" i="13"/>
  <c r="K105" i="13"/>
  <c r="H105" i="13"/>
  <c r="E105" i="13"/>
  <c r="L104" i="13"/>
  <c r="K104" i="13"/>
  <c r="H104" i="13"/>
  <c r="E104" i="13"/>
  <c r="L103" i="13"/>
  <c r="K103" i="13"/>
  <c r="H103" i="13"/>
  <c r="E103" i="13"/>
  <c r="L102" i="13"/>
  <c r="K102" i="13"/>
  <c r="H102" i="13"/>
  <c r="E102" i="13"/>
  <c r="L101" i="13"/>
  <c r="K101" i="13"/>
  <c r="H101" i="13"/>
  <c r="E101" i="13"/>
  <c r="H98" i="13"/>
  <c r="C98" i="13"/>
  <c r="L95" i="13"/>
  <c r="K95" i="13"/>
  <c r="H95" i="13"/>
  <c r="E95" i="13"/>
  <c r="L94" i="13"/>
  <c r="K94" i="13"/>
  <c r="H94" i="13"/>
  <c r="E94" i="13"/>
  <c r="L93" i="13"/>
  <c r="K93" i="13"/>
  <c r="H93" i="13"/>
  <c r="E93" i="13"/>
  <c r="L92" i="13"/>
  <c r="K92" i="13"/>
  <c r="H92" i="13"/>
  <c r="E92" i="13"/>
  <c r="L91" i="13"/>
  <c r="K91" i="13"/>
  <c r="H91" i="13"/>
  <c r="E91" i="13"/>
  <c r="L90" i="13"/>
  <c r="K90" i="13"/>
  <c r="H90" i="13"/>
  <c r="E90" i="13"/>
  <c r="L89" i="13"/>
  <c r="K89" i="13"/>
  <c r="H89" i="13"/>
  <c r="E89" i="13"/>
  <c r="L88" i="13"/>
  <c r="K88" i="13"/>
  <c r="H88" i="13"/>
  <c r="E88" i="13"/>
  <c r="L87" i="13"/>
  <c r="K87" i="13"/>
  <c r="H87" i="13"/>
  <c r="E87" i="13"/>
  <c r="H84" i="13"/>
  <c r="C84" i="13"/>
  <c r="L82" i="13"/>
  <c r="K82" i="13"/>
  <c r="H82" i="13"/>
  <c r="E82" i="13"/>
  <c r="L81" i="13"/>
  <c r="K81" i="13"/>
  <c r="H81" i="13"/>
  <c r="E81" i="13"/>
  <c r="L80" i="13"/>
  <c r="K80" i="13"/>
  <c r="H80" i="13"/>
  <c r="E80" i="13"/>
  <c r="L79" i="13"/>
  <c r="K79" i="13"/>
  <c r="H79" i="13"/>
  <c r="E79" i="13"/>
  <c r="L78" i="13"/>
  <c r="K78" i="13"/>
  <c r="H78" i="13"/>
  <c r="E78" i="13"/>
  <c r="L77" i="13"/>
  <c r="K77" i="13"/>
  <c r="H77" i="13"/>
  <c r="E77" i="13"/>
  <c r="L76" i="13"/>
  <c r="K76" i="13"/>
  <c r="H76" i="13"/>
  <c r="E76" i="13"/>
  <c r="L75" i="13"/>
  <c r="K75" i="13"/>
  <c r="H75" i="13"/>
  <c r="E75" i="13"/>
  <c r="L74" i="13"/>
  <c r="K74" i="13"/>
  <c r="H74" i="13"/>
  <c r="E74" i="13"/>
  <c r="H70" i="13"/>
  <c r="C70" i="13"/>
  <c r="L68" i="13"/>
  <c r="K68" i="13"/>
  <c r="H68" i="13"/>
  <c r="E68" i="13"/>
  <c r="L67" i="13"/>
  <c r="K67" i="13"/>
  <c r="H67" i="13"/>
  <c r="E67" i="13"/>
  <c r="L66" i="13"/>
  <c r="K66" i="13"/>
  <c r="H66" i="13"/>
  <c r="E66" i="13"/>
  <c r="L65" i="13"/>
  <c r="K65" i="13"/>
  <c r="H65" i="13"/>
  <c r="E65" i="13"/>
  <c r="L64" i="13"/>
  <c r="K64" i="13"/>
  <c r="H64" i="13"/>
  <c r="E64" i="13"/>
  <c r="L63" i="13"/>
  <c r="K63" i="13"/>
  <c r="H63" i="13"/>
  <c r="E63" i="13"/>
  <c r="L62" i="13"/>
  <c r="K62" i="13"/>
  <c r="H62" i="13"/>
  <c r="E62" i="13"/>
  <c r="L61" i="13"/>
  <c r="K61" i="13"/>
  <c r="H61" i="13"/>
  <c r="E61" i="13"/>
  <c r="L60" i="13"/>
  <c r="K60" i="13"/>
  <c r="H60" i="13"/>
  <c r="E60" i="13"/>
  <c r="H57" i="13"/>
  <c r="C57" i="13"/>
  <c r="L55" i="13"/>
  <c r="K55" i="13"/>
  <c r="H55" i="13"/>
  <c r="E55" i="13"/>
  <c r="L54" i="13"/>
  <c r="K54" i="13"/>
  <c r="H54" i="13"/>
  <c r="E54" i="13"/>
  <c r="L53" i="13"/>
  <c r="K53" i="13"/>
  <c r="H53" i="13"/>
  <c r="E53" i="13"/>
  <c r="L52" i="13"/>
  <c r="K52" i="13"/>
  <c r="H52" i="13"/>
  <c r="E52" i="13"/>
  <c r="L51" i="13"/>
  <c r="K51" i="13"/>
  <c r="H51" i="13"/>
  <c r="E51" i="13"/>
  <c r="L50" i="13"/>
  <c r="K50" i="13"/>
  <c r="H50" i="13"/>
  <c r="E50" i="13"/>
  <c r="L49" i="13"/>
  <c r="K49" i="13"/>
  <c r="H49" i="13"/>
  <c r="E49" i="13"/>
  <c r="L48" i="13"/>
  <c r="K48" i="13"/>
  <c r="H48" i="13"/>
  <c r="E48" i="13"/>
  <c r="L47" i="13"/>
  <c r="K47" i="13"/>
  <c r="H47" i="13"/>
  <c r="E47" i="13"/>
  <c r="H44" i="13"/>
  <c r="C44" i="13"/>
  <c r="L42" i="13"/>
  <c r="K42" i="13"/>
  <c r="H42" i="13"/>
  <c r="E42" i="13"/>
  <c r="L41" i="13"/>
  <c r="K41" i="13"/>
  <c r="H41" i="13"/>
  <c r="E41" i="13"/>
  <c r="L40" i="13"/>
  <c r="K40" i="13"/>
  <c r="H40" i="13"/>
  <c r="E40" i="13"/>
  <c r="L39" i="13"/>
  <c r="K39" i="13"/>
  <c r="H39" i="13"/>
  <c r="E39" i="13"/>
  <c r="L38" i="13"/>
  <c r="K38" i="13"/>
  <c r="H38" i="13"/>
  <c r="E38" i="13"/>
  <c r="L37" i="13"/>
  <c r="K37" i="13"/>
  <c r="H37" i="13"/>
  <c r="E37" i="13"/>
  <c r="L36" i="13"/>
  <c r="K36" i="13"/>
  <c r="H36" i="13"/>
  <c r="E36" i="13"/>
  <c r="L35" i="13"/>
  <c r="K35" i="13"/>
  <c r="H35" i="13"/>
  <c r="E35" i="13"/>
  <c r="L34" i="13"/>
  <c r="K34" i="13"/>
  <c r="H34" i="13"/>
  <c r="E34" i="13"/>
  <c r="H31" i="13"/>
  <c r="C31" i="13"/>
  <c r="L29" i="13"/>
  <c r="K29" i="13"/>
  <c r="H29" i="13"/>
  <c r="E29" i="13"/>
  <c r="L28" i="13"/>
  <c r="K28" i="13"/>
  <c r="H28" i="13"/>
  <c r="E28" i="13"/>
  <c r="L27" i="13"/>
  <c r="K27" i="13"/>
  <c r="H27" i="13"/>
  <c r="E27" i="13"/>
  <c r="L26" i="13"/>
  <c r="K26" i="13"/>
  <c r="H26" i="13"/>
  <c r="E26" i="13"/>
  <c r="L25" i="13"/>
  <c r="K25" i="13"/>
  <c r="H25" i="13"/>
  <c r="E25" i="13"/>
  <c r="L24" i="13"/>
  <c r="K24" i="13"/>
  <c r="H24" i="13"/>
  <c r="E24" i="13"/>
  <c r="L23" i="13"/>
  <c r="K23" i="13"/>
  <c r="H23" i="13"/>
  <c r="E23" i="13"/>
  <c r="L22" i="13"/>
  <c r="K22" i="13"/>
  <c r="H22" i="13"/>
  <c r="E22" i="13"/>
  <c r="L21" i="13"/>
  <c r="K21" i="13"/>
  <c r="H21" i="13"/>
  <c r="E21" i="13"/>
  <c r="H18" i="13"/>
  <c r="C18" i="13"/>
  <c r="L16" i="13"/>
  <c r="K16" i="13"/>
  <c r="H16" i="13"/>
  <c r="E16" i="13"/>
  <c r="L15" i="13"/>
  <c r="K15" i="13"/>
  <c r="H15" i="13"/>
  <c r="E15" i="13"/>
  <c r="H14" i="13"/>
  <c r="E14" i="13"/>
  <c r="H13" i="13"/>
  <c r="E13" i="13"/>
  <c r="H12" i="13"/>
  <c r="E12" i="13"/>
  <c r="L10" i="13"/>
  <c r="K10" i="13"/>
  <c r="H10" i="13"/>
  <c r="E10" i="13"/>
  <c r="L9" i="13"/>
  <c r="K9" i="13"/>
  <c r="H9" i="13"/>
  <c r="E9" i="13"/>
  <c r="L8" i="13"/>
  <c r="K8" i="13"/>
  <c r="H8" i="13"/>
  <c r="E8" i="13"/>
  <c r="H5" i="13"/>
  <c r="G5" i="13"/>
  <c r="L105" i="45"/>
  <c r="K105" i="45"/>
  <c r="H105" i="45"/>
  <c r="E105" i="45"/>
  <c r="L104" i="45"/>
  <c r="K104" i="45"/>
  <c r="H104" i="45"/>
  <c r="E104" i="45"/>
  <c r="L103" i="45"/>
  <c r="K103" i="45"/>
  <c r="H103" i="45"/>
  <c r="E103" i="45"/>
  <c r="L102" i="45"/>
  <c r="K102" i="45"/>
  <c r="H102" i="45"/>
  <c r="E102" i="45"/>
  <c r="L101" i="45"/>
  <c r="K101" i="45"/>
  <c r="H101" i="45"/>
  <c r="E101" i="45"/>
  <c r="L100" i="45"/>
  <c r="K100" i="45"/>
  <c r="H100" i="45"/>
  <c r="E100" i="45"/>
  <c r="L99" i="45"/>
  <c r="K99" i="45"/>
  <c r="H99" i="45"/>
  <c r="E99" i="45"/>
  <c r="L98" i="45"/>
  <c r="K98" i="45"/>
  <c r="H98" i="45"/>
  <c r="E98" i="45"/>
  <c r="L97" i="45"/>
  <c r="K97" i="45"/>
  <c r="H97" i="45"/>
  <c r="E97" i="45"/>
  <c r="L96" i="45"/>
  <c r="K96" i="45"/>
  <c r="H96" i="45"/>
  <c r="E96" i="45"/>
  <c r="L95" i="45"/>
  <c r="K95" i="45"/>
  <c r="H95" i="45"/>
  <c r="E95" i="45"/>
  <c r="H92" i="45"/>
  <c r="L90" i="45"/>
  <c r="K90" i="45"/>
  <c r="H90" i="45"/>
  <c r="E90" i="45"/>
  <c r="L89" i="45"/>
  <c r="K89" i="45"/>
  <c r="H89" i="45"/>
  <c r="E89" i="45"/>
  <c r="L88" i="45"/>
  <c r="K88" i="45"/>
  <c r="H88" i="45"/>
  <c r="E88" i="45"/>
  <c r="L87" i="45"/>
  <c r="K87" i="45"/>
  <c r="H87" i="45"/>
  <c r="E87" i="45"/>
  <c r="L86" i="45"/>
  <c r="K86" i="45"/>
  <c r="H86" i="45"/>
  <c r="E86" i="45"/>
  <c r="L85" i="45"/>
  <c r="K85" i="45"/>
  <c r="H85" i="45"/>
  <c r="E85" i="45"/>
  <c r="L84" i="45"/>
  <c r="K84" i="45"/>
  <c r="H84" i="45"/>
  <c r="E84" i="45"/>
  <c r="L83" i="45"/>
  <c r="K83" i="45"/>
  <c r="H83" i="45"/>
  <c r="E83" i="45"/>
  <c r="L82" i="45"/>
  <c r="K82" i="45"/>
  <c r="H82" i="45"/>
  <c r="E82" i="45"/>
  <c r="L81" i="45"/>
  <c r="K81" i="45"/>
  <c r="H81" i="45"/>
  <c r="E81" i="45"/>
  <c r="H78" i="45"/>
  <c r="L75" i="45"/>
  <c r="K75" i="45"/>
  <c r="H75" i="45"/>
  <c r="E75" i="45"/>
  <c r="L74" i="45"/>
  <c r="K74" i="45"/>
  <c r="H74" i="45"/>
  <c r="E74" i="45"/>
  <c r="L73" i="45"/>
  <c r="K73" i="45"/>
  <c r="H73" i="45"/>
  <c r="E73" i="45"/>
  <c r="L72" i="45"/>
  <c r="K72" i="45"/>
  <c r="H72" i="45"/>
  <c r="E72" i="45"/>
  <c r="L71" i="45"/>
  <c r="K71" i="45"/>
  <c r="H71" i="45"/>
  <c r="E71" i="45"/>
  <c r="L70" i="45"/>
  <c r="K70" i="45"/>
  <c r="H70" i="45"/>
  <c r="E70" i="45"/>
  <c r="L69" i="45"/>
  <c r="K69" i="45"/>
  <c r="H69" i="45"/>
  <c r="E69" i="45"/>
  <c r="L68" i="45"/>
  <c r="K68" i="45"/>
  <c r="H68" i="45"/>
  <c r="E68" i="45"/>
  <c r="L67" i="45"/>
  <c r="K67" i="45"/>
  <c r="H67" i="45"/>
  <c r="E67" i="45"/>
  <c r="L66" i="45"/>
  <c r="K66" i="45"/>
  <c r="H66" i="45"/>
  <c r="E66" i="45"/>
  <c r="L65" i="45"/>
  <c r="K65" i="45"/>
  <c r="H65" i="45"/>
  <c r="E65" i="45"/>
  <c r="H62" i="45"/>
  <c r="L59" i="45"/>
  <c r="K59" i="45"/>
  <c r="H59" i="45"/>
  <c r="E59" i="45"/>
  <c r="L58" i="45"/>
  <c r="K58" i="45"/>
  <c r="H58" i="45"/>
  <c r="E58" i="45"/>
  <c r="L57" i="45"/>
  <c r="K57" i="45"/>
  <c r="H57" i="45"/>
  <c r="E57" i="45"/>
  <c r="L56" i="45"/>
  <c r="K56" i="45"/>
  <c r="H56" i="45"/>
  <c r="E56" i="45"/>
  <c r="L55" i="45"/>
  <c r="K55" i="45"/>
  <c r="H55" i="45"/>
  <c r="E55" i="45"/>
  <c r="L54" i="45"/>
  <c r="K54" i="45"/>
  <c r="H54" i="45"/>
  <c r="E54" i="45"/>
  <c r="L53" i="45"/>
  <c r="K53" i="45"/>
  <c r="H53" i="45"/>
  <c r="E53" i="45"/>
  <c r="L52" i="45"/>
  <c r="K52" i="45"/>
  <c r="H52" i="45"/>
  <c r="E52" i="45"/>
  <c r="L51" i="45"/>
  <c r="K51" i="45"/>
  <c r="H51" i="45"/>
  <c r="E51" i="45"/>
  <c r="L50" i="45"/>
  <c r="K50" i="45"/>
  <c r="H50" i="45"/>
  <c r="E50" i="45"/>
  <c r="H47" i="45"/>
  <c r="L45" i="45"/>
  <c r="K45" i="45"/>
  <c r="H45" i="45"/>
  <c r="E45" i="45"/>
  <c r="L44" i="45"/>
  <c r="K44" i="45"/>
  <c r="H44" i="45"/>
  <c r="E44" i="45"/>
  <c r="L43" i="45"/>
  <c r="K43" i="45"/>
  <c r="H43" i="45"/>
  <c r="E43" i="45"/>
  <c r="L42" i="45"/>
  <c r="K42" i="45"/>
  <c r="H42" i="45"/>
  <c r="E42" i="45"/>
  <c r="L41" i="45"/>
  <c r="K41" i="45"/>
  <c r="H41" i="45"/>
  <c r="E41" i="45"/>
  <c r="L40" i="45"/>
  <c r="K40" i="45"/>
  <c r="H40" i="45"/>
  <c r="E40" i="45"/>
  <c r="L39" i="45"/>
  <c r="K39" i="45"/>
  <c r="H39" i="45"/>
  <c r="E39" i="45"/>
  <c r="L38" i="45"/>
  <c r="K38" i="45"/>
  <c r="H38" i="45"/>
  <c r="E38" i="45"/>
  <c r="L37" i="45"/>
  <c r="K37" i="45"/>
  <c r="H37" i="45"/>
  <c r="E37" i="45"/>
  <c r="L36" i="45"/>
  <c r="K36" i="45"/>
  <c r="H36" i="45"/>
  <c r="E36" i="45"/>
  <c r="H33" i="45"/>
  <c r="L31" i="45"/>
  <c r="K31" i="45"/>
  <c r="H31" i="45"/>
  <c r="E31" i="45"/>
  <c r="L30" i="45"/>
  <c r="K30" i="45"/>
  <c r="H30" i="45"/>
  <c r="E30" i="45"/>
  <c r="L29" i="45"/>
  <c r="K29" i="45"/>
  <c r="H29" i="45"/>
  <c r="E29" i="45"/>
  <c r="L28" i="45"/>
  <c r="K28" i="45"/>
  <c r="H28" i="45"/>
  <c r="E28" i="45"/>
  <c r="L27" i="45"/>
  <c r="K27" i="45"/>
  <c r="H27" i="45"/>
  <c r="E27" i="45"/>
  <c r="L26" i="45"/>
  <c r="K26" i="45"/>
  <c r="H26" i="45"/>
  <c r="E26" i="45"/>
  <c r="L25" i="45"/>
  <c r="K25" i="45"/>
  <c r="H25" i="45"/>
  <c r="E25" i="45"/>
  <c r="L24" i="45"/>
  <c r="K24" i="45"/>
  <c r="H24" i="45"/>
  <c r="E24" i="45"/>
  <c r="L23" i="45"/>
  <c r="K23" i="45"/>
  <c r="H23" i="45"/>
  <c r="E23" i="45"/>
  <c r="L22" i="45"/>
  <c r="K22" i="45"/>
  <c r="H22" i="45"/>
  <c r="E22" i="45"/>
  <c r="H19" i="45"/>
  <c r="L17" i="45"/>
  <c r="K17" i="45"/>
  <c r="H17" i="45"/>
  <c r="E17" i="45"/>
  <c r="L16" i="45"/>
  <c r="K16" i="45"/>
  <c r="H16" i="45"/>
  <c r="E16" i="45"/>
  <c r="L15" i="45"/>
  <c r="K15" i="45"/>
  <c r="H15" i="45"/>
  <c r="E15" i="45"/>
  <c r="L14" i="45"/>
  <c r="K14" i="45"/>
  <c r="H14" i="45"/>
  <c r="E14" i="45"/>
  <c r="L13" i="45"/>
  <c r="K13" i="45"/>
  <c r="H13" i="45"/>
  <c r="E13" i="45"/>
  <c r="L12" i="45"/>
  <c r="K12" i="45"/>
  <c r="H12" i="45"/>
  <c r="E12" i="45"/>
  <c r="L11" i="45"/>
  <c r="K11" i="45"/>
  <c r="H11" i="45"/>
  <c r="E11" i="45"/>
  <c r="L10" i="45"/>
  <c r="K10" i="45"/>
  <c r="H10" i="45"/>
  <c r="E10" i="45"/>
  <c r="L9" i="45"/>
  <c r="K9" i="45"/>
  <c r="H9" i="45"/>
  <c r="E9" i="45"/>
  <c r="L8" i="45"/>
  <c r="K8" i="45"/>
  <c r="H8" i="45"/>
  <c r="E8" i="45"/>
  <c r="C138" i="3"/>
  <c r="C137" i="3"/>
  <c r="C136" i="3"/>
  <c r="C135" i="3"/>
  <c r="C134" i="3"/>
  <c r="C133" i="3"/>
  <c r="C132" i="3"/>
  <c r="C131" i="3"/>
  <c r="C130" i="3"/>
  <c r="L128" i="3"/>
  <c r="K128" i="3"/>
  <c r="H128" i="3"/>
  <c r="E128" i="3"/>
  <c r="L127" i="3"/>
  <c r="K127" i="3"/>
  <c r="H127" i="3"/>
  <c r="E127" i="3"/>
  <c r="L126" i="3"/>
  <c r="K126" i="3"/>
  <c r="H126" i="3"/>
  <c r="E126" i="3"/>
  <c r="L125" i="3"/>
  <c r="K125" i="3"/>
  <c r="H125" i="3"/>
  <c r="E125" i="3"/>
  <c r="L124" i="3"/>
  <c r="K124" i="3"/>
  <c r="H124" i="3"/>
  <c r="E124" i="3"/>
  <c r="L123" i="3"/>
  <c r="K123" i="3"/>
  <c r="H123" i="3"/>
  <c r="E123" i="3"/>
  <c r="L122" i="3"/>
  <c r="K122" i="3"/>
  <c r="H122" i="3"/>
  <c r="E122" i="3"/>
  <c r="L121" i="3"/>
  <c r="K121" i="3"/>
  <c r="H121" i="3"/>
  <c r="E121" i="3"/>
  <c r="L120" i="3"/>
  <c r="K120" i="3"/>
  <c r="H120" i="3"/>
  <c r="E120" i="3"/>
  <c r="L119" i="3"/>
  <c r="K119" i="3"/>
  <c r="H119" i="3"/>
  <c r="E119" i="3"/>
  <c r="L118" i="3"/>
  <c r="K118" i="3"/>
  <c r="H118" i="3"/>
  <c r="E118" i="3"/>
  <c r="H115" i="3"/>
  <c r="L114" i="3"/>
  <c r="K114" i="3"/>
  <c r="H114" i="3"/>
  <c r="E114" i="3"/>
  <c r="L113" i="3"/>
  <c r="K113" i="3"/>
  <c r="H113" i="3"/>
  <c r="E113" i="3"/>
  <c r="L112" i="3"/>
  <c r="K112" i="3"/>
  <c r="H112" i="3"/>
  <c r="E112" i="3"/>
  <c r="L111" i="3"/>
  <c r="K111" i="3"/>
  <c r="H111" i="3"/>
  <c r="E111" i="3"/>
  <c r="L110" i="3"/>
  <c r="K110" i="3"/>
  <c r="H110" i="3"/>
  <c r="E110" i="3"/>
  <c r="L109" i="3"/>
  <c r="K109" i="3"/>
  <c r="H109" i="3"/>
  <c r="E109" i="3"/>
  <c r="L108" i="3"/>
  <c r="K108" i="3"/>
  <c r="H108" i="3"/>
  <c r="E108" i="3"/>
  <c r="L107" i="3"/>
  <c r="K107" i="3"/>
  <c r="H107" i="3"/>
  <c r="E107" i="3"/>
  <c r="L106" i="3"/>
  <c r="K106" i="3"/>
  <c r="H106" i="3"/>
  <c r="E106" i="3"/>
  <c r="L105" i="3"/>
  <c r="K105" i="3"/>
  <c r="H105" i="3"/>
  <c r="E105" i="3"/>
  <c r="L104" i="3"/>
  <c r="K104" i="3"/>
  <c r="H104" i="3"/>
  <c r="E104" i="3"/>
  <c r="H101" i="3"/>
  <c r="L99" i="3"/>
  <c r="K99" i="3"/>
  <c r="H99" i="3"/>
  <c r="E99" i="3"/>
  <c r="L98" i="3"/>
  <c r="K98" i="3"/>
  <c r="H98" i="3"/>
  <c r="E98" i="3"/>
  <c r="L97" i="3"/>
  <c r="K97" i="3"/>
  <c r="H97" i="3"/>
  <c r="E97" i="3"/>
  <c r="L96" i="3"/>
  <c r="K96" i="3"/>
  <c r="H96" i="3"/>
  <c r="E96" i="3"/>
  <c r="L95" i="3"/>
  <c r="K95" i="3"/>
  <c r="H95" i="3"/>
  <c r="E95" i="3"/>
  <c r="L94" i="3"/>
  <c r="K94" i="3"/>
  <c r="H94" i="3"/>
  <c r="E94" i="3"/>
  <c r="L93" i="3"/>
  <c r="K93" i="3"/>
  <c r="H93" i="3"/>
  <c r="E93" i="3"/>
  <c r="L92" i="3"/>
  <c r="K92" i="3"/>
  <c r="H92" i="3"/>
  <c r="E92" i="3"/>
  <c r="L91" i="3"/>
  <c r="K91" i="3"/>
  <c r="H91" i="3"/>
  <c r="E91" i="3"/>
  <c r="L90" i="3"/>
  <c r="K90" i="3"/>
  <c r="H90" i="3"/>
  <c r="E90" i="3"/>
  <c r="L89" i="3"/>
  <c r="K89" i="3"/>
  <c r="H89" i="3"/>
  <c r="E89" i="3"/>
  <c r="H86" i="3"/>
  <c r="L84" i="3"/>
  <c r="K84" i="3"/>
  <c r="H84" i="3"/>
  <c r="E84" i="3"/>
  <c r="L83" i="3"/>
  <c r="K83" i="3"/>
  <c r="H83" i="3"/>
  <c r="E83" i="3"/>
  <c r="L82" i="3"/>
  <c r="K82" i="3"/>
  <c r="H82" i="3"/>
  <c r="E82" i="3"/>
  <c r="L81" i="3"/>
  <c r="K81" i="3"/>
  <c r="H81" i="3"/>
  <c r="E81" i="3"/>
  <c r="L80" i="3"/>
  <c r="K80" i="3"/>
  <c r="H80" i="3"/>
  <c r="E80" i="3"/>
  <c r="L79" i="3"/>
  <c r="K79" i="3"/>
  <c r="H79" i="3"/>
  <c r="E79" i="3"/>
  <c r="L78" i="3"/>
  <c r="K78" i="3"/>
  <c r="H78" i="3"/>
  <c r="E78" i="3"/>
  <c r="L77" i="3"/>
  <c r="K77" i="3"/>
  <c r="H77" i="3"/>
  <c r="E77" i="3"/>
  <c r="L76" i="3"/>
  <c r="K76" i="3"/>
  <c r="H76" i="3"/>
  <c r="E76" i="3"/>
  <c r="L75" i="3"/>
  <c r="K75" i="3"/>
  <c r="H75" i="3"/>
  <c r="E75" i="3"/>
  <c r="L74" i="3"/>
  <c r="K74" i="3"/>
  <c r="H74" i="3"/>
  <c r="E74" i="3"/>
  <c r="H71" i="3"/>
  <c r="L68" i="3"/>
  <c r="K68" i="3"/>
  <c r="H68" i="3"/>
  <c r="E68" i="3"/>
  <c r="L67" i="3"/>
  <c r="K67" i="3"/>
  <c r="H67" i="3"/>
  <c r="E67" i="3"/>
  <c r="L66" i="3"/>
  <c r="K66" i="3"/>
  <c r="H66" i="3"/>
  <c r="E66" i="3"/>
  <c r="L65" i="3"/>
  <c r="K65" i="3"/>
  <c r="H65" i="3"/>
  <c r="E65" i="3"/>
  <c r="L64" i="3"/>
  <c r="K64" i="3"/>
  <c r="H64" i="3"/>
  <c r="E64" i="3"/>
  <c r="L63" i="3"/>
  <c r="K63" i="3"/>
  <c r="H63" i="3"/>
  <c r="E63" i="3"/>
  <c r="L62" i="3"/>
  <c r="K62" i="3"/>
  <c r="H62" i="3"/>
  <c r="E62" i="3"/>
  <c r="L61" i="3"/>
  <c r="K61" i="3"/>
  <c r="H61" i="3"/>
  <c r="E61" i="3"/>
  <c r="L60" i="3"/>
  <c r="K60" i="3"/>
  <c r="H60" i="3"/>
  <c r="E60" i="3"/>
  <c r="L59" i="3"/>
  <c r="K59" i="3"/>
  <c r="H59" i="3"/>
  <c r="E59" i="3"/>
  <c r="L58" i="3"/>
  <c r="K58" i="3"/>
  <c r="H58" i="3"/>
  <c r="E58" i="3"/>
  <c r="H55" i="3"/>
  <c r="L52" i="3"/>
  <c r="K52" i="3"/>
  <c r="H52" i="3"/>
  <c r="E52" i="3"/>
  <c r="L51" i="3"/>
  <c r="K51" i="3"/>
  <c r="H51" i="3"/>
  <c r="E51" i="3"/>
  <c r="L50" i="3"/>
  <c r="K50" i="3"/>
  <c r="H50" i="3"/>
  <c r="E50" i="3"/>
  <c r="L49" i="3"/>
  <c r="K49" i="3"/>
  <c r="H49" i="3"/>
  <c r="E49" i="3"/>
  <c r="L48" i="3"/>
  <c r="K48" i="3"/>
  <c r="H48" i="3"/>
  <c r="E48" i="3"/>
  <c r="L47" i="3"/>
  <c r="K47" i="3"/>
  <c r="H47" i="3"/>
  <c r="E47" i="3"/>
  <c r="L46" i="3"/>
  <c r="K46" i="3"/>
  <c r="H46" i="3"/>
  <c r="E46" i="3"/>
  <c r="L45" i="3"/>
  <c r="K45" i="3"/>
  <c r="H45" i="3"/>
  <c r="E45" i="3"/>
  <c r="L44" i="3"/>
  <c r="K44" i="3"/>
  <c r="H44" i="3"/>
  <c r="E44" i="3"/>
  <c r="L43" i="3"/>
  <c r="K43" i="3"/>
  <c r="H43" i="3"/>
  <c r="E43" i="3"/>
  <c r="L42" i="3"/>
  <c r="K42" i="3"/>
  <c r="H42" i="3"/>
  <c r="E42" i="3"/>
  <c r="L41" i="3"/>
  <c r="K41" i="3"/>
  <c r="H41" i="3"/>
  <c r="E41" i="3"/>
  <c r="H38" i="3"/>
  <c r="L35" i="3"/>
  <c r="K35" i="3"/>
  <c r="H35" i="3"/>
  <c r="E35" i="3"/>
  <c r="L34" i="3"/>
  <c r="K34" i="3"/>
  <c r="H34" i="3"/>
  <c r="E34" i="3"/>
  <c r="L33" i="3"/>
  <c r="K33" i="3"/>
  <c r="H33" i="3"/>
  <c r="E33" i="3"/>
  <c r="L32" i="3"/>
  <c r="K32" i="3"/>
  <c r="H32" i="3"/>
  <c r="E32" i="3"/>
  <c r="L31" i="3"/>
  <c r="K31" i="3"/>
  <c r="H31" i="3"/>
  <c r="E31" i="3"/>
  <c r="L30" i="3"/>
  <c r="K30" i="3"/>
  <c r="H30" i="3"/>
  <c r="E30" i="3"/>
  <c r="L29" i="3"/>
  <c r="K29" i="3"/>
  <c r="H29" i="3"/>
  <c r="E29" i="3"/>
  <c r="L28" i="3"/>
  <c r="K28" i="3"/>
  <c r="H28" i="3"/>
  <c r="E28" i="3"/>
  <c r="L27" i="3"/>
  <c r="K27" i="3"/>
  <c r="H27" i="3"/>
  <c r="E27" i="3"/>
  <c r="L26" i="3"/>
  <c r="K26" i="3"/>
  <c r="H26" i="3"/>
  <c r="E26" i="3"/>
  <c r="L25" i="3"/>
  <c r="K25" i="3"/>
  <c r="H25" i="3"/>
  <c r="E25" i="3"/>
  <c r="L24" i="3"/>
  <c r="K24" i="3"/>
  <c r="H24" i="3"/>
  <c r="E24" i="3"/>
  <c r="H21" i="3"/>
  <c r="L18" i="3"/>
  <c r="K18" i="3"/>
  <c r="H18" i="3"/>
  <c r="E18" i="3"/>
  <c r="L17" i="3"/>
  <c r="K17" i="3"/>
  <c r="H17" i="3"/>
  <c r="E17" i="3"/>
  <c r="L16" i="3"/>
  <c r="K16" i="3"/>
  <c r="H16" i="3"/>
  <c r="E16" i="3"/>
  <c r="L15" i="3"/>
  <c r="K15" i="3"/>
  <c r="H15" i="3"/>
  <c r="E15" i="3"/>
  <c r="L14" i="3"/>
  <c r="K14" i="3"/>
  <c r="H14" i="3"/>
  <c r="E14" i="3"/>
  <c r="L13" i="3"/>
  <c r="K13" i="3"/>
  <c r="H13" i="3"/>
  <c r="E13" i="3"/>
  <c r="L12" i="3"/>
  <c r="K12" i="3"/>
  <c r="H12" i="3"/>
  <c r="E12" i="3"/>
  <c r="L10" i="3"/>
  <c r="K10" i="3"/>
  <c r="H10" i="3"/>
  <c r="E10" i="3"/>
  <c r="L9" i="3"/>
  <c r="K9" i="3"/>
  <c r="H9" i="3"/>
  <c r="E9" i="3"/>
  <c r="G5" i="3"/>
  <c r="C126" i="20"/>
  <c r="K105" i="20"/>
  <c r="H105" i="20"/>
  <c r="E105" i="20"/>
  <c r="K90" i="20"/>
  <c r="H90" i="20"/>
  <c r="E90" i="20"/>
  <c r="K89" i="20"/>
  <c r="K99" i="20" s="1"/>
  <c r="H89" i="20"/>
  <c r="E89" i="20"/>
  <c r="K78" i="20"/>
  <c r="H78" i="20"/>
  <c r="E78" i="20"/>
  <c r="L78" i="20" s="1"/>
  <c r="K73" i="20"/>
  <c r="H73" i="20"/>
  <c r="E73" i="20"/>
  <c r="K72" i="20"/>
  <c r="H72" i="20"/>
  <c r="E72" i="20"/>
  <c r="K58" i="20"/>
  <c r="H58" i="20"/>
  <c r="E58" i="20"/>
  <c r="K57" i="20"/>
  <c r="H57" i="20"/>
  <c r="E57" i="20"/>
  <c r="L57" i="20" s="1"/>
  <c r="K56" i="20"/>
  <c r="H56" i="20"/>
  <c r="E56" i="20"/>
  <c r="K46" i="20"/>
  <c r="H46" i="20"/>
  <c r="E46" i="20"/>
  <c r="K42" i="20"/>
  <c r="H42" i="20"/>
  <c r="E42" i="20"/>
  <c r="K41" i="20"/>
  <c r="H41" i="20"/>
  <c r="E41" i="20"/>
  <c r="K40" i="20"/>
  <c r="H40" i="20"/>
  <c r="E40" i="20"/>
  <c r="X32" i="20"/>
  <c r="Y32" i="20" s="1"/>
  <c r="K32" i="20"/>
  <c r="H32" i="20"/>
  <c r="E32" i="20"/>
  <c r="K31" i="20"/>
  <c r="H31" i="20"/>
  <c r="E31" i="20"/>
  <c r="K30" i="20"/>
  <c r="H30" i="20"/>
  <c r="E30" i="20"/>
  <c r="K29" i="20"/>
  <c r="H29" i="20"/>
  <c r="E29" i="20"/>
  <c r="K28" i="20"/>
  <c r="H28" i="20"/>
  <c r="E28" i="20"/>
  <c r="K27" i="20"/>
  <c r="H27" i="20"/>
  <c r="E27" i="20"/>
  <c r="K26" i="20"/>
  <c r="H26" i="20"/>
  <c r="E26" i="20"/>
  <c r="K25" i="20"/>
  <c r="H25" i="20"/>
  <c r="E25" i="20"/>
  <c r="K24" i="20"/>
  <c r="H24" i="20"/>
  <c r="E24" i="20"/>
  <c r="K18" i="20"/>
  <c r="H18" i="20"/>
  <c r="E18" i="20"/>
  <c r="K17" i="20"/>
  <c r="H17" i="20"/>
  <c r="E17" i="20"/>
  <c r="K16" i="20"/>
  <c r="H16" i="20"/>
  <c r="E16" i="20"/>
  <c r="K15" i="20"/>
  <c r="H15" i="20"/>
  <c r="E15" i="20"/>
  <c r="K14" i="20"/>
  <c r="H14" i="20"/>
  <c r="E14" i="20"/>
  <c r="K13" i="20"/>
  <c r="H13" i="20"/>
  <c r="E13" i="20"/>
  <c r="K12" i="20"/>
  <c r="H12" i="20"/>
  <c r="E12" i="20"/>
  <c r="K11" i="20"/>
  <c r="H11" i="20"/>
  <c r="E11" i="20"/>
  <c r="K10" i="20"/>
  <c r="H10" i="20"/>
  <c r="E10" i="20"/>
  <c r="K9" i="20"/>
  <c r="H9" i="20"/>
  <c r="E9" i="20"/>
  <c r="K8" i="20"/>
  <c r="H8" i="20"/>
  <c r="E8" i="20"/>
  <c r="H5" i="20"/>
  <c r="H5" i="22" s="1"/>
  <c r="K12" i="30" l="1"/>
  <c r="E12" i="30"/>
  <c r="L8" i="30"/>
  <c r="D72" i="30"/>
  <c r="L122" i="31"/>
  <c r="L100" i="31"/>
  <c r="C133" i="31" s="1"/>
  <c r="H105" i="31"/>
  <c r="L105" i="31"/>
  <c r="L88" i="31"/>
  <c r="L71" i="31"/>
  <c r="L54" i="31"/>
  <c r="C130" i="31"/>
  <c r="C132" i="31"/>
  <c r="C129" i="31"/>
  <c r="K37" i="31"/>
  <c r="L25" i="31"/>
  <c r="C126" i="31" s="1"/>
  <c r="C135" i="31"/>
  <c r="C128" i="31"/>
  <c r="C127" i="31"/>
  <c r="C136" i="31"/>
  <c r="C137" i="31"/>
  <c r="K20" i="31"/>
  <c r="L13" i="31"/>
  <c r="C134" i="31"/>
  <c r="L59" i="25"/>
  <c r="L51" i="25"/>
  <c r="L43" i="25"/>
  <c r="L35" i="25"/>
  <c r="L27" i="25"/>
  <c r="C64" i="25"/>
  <c r="L19" i="25"/>
  <c r="C63" i="25"/>
  <c r="L11" i="25"/>
  <c r="K11" i="25"/>
  <c r="L62" i="30"/>
  <c r="L66" i="30" s="1"/>
  <c r="L27" i="30"/>
  <c r="L30" i="30" s="1"/>
  <c r="L21" i="30"/>
  <c r="D69" i="30"/>
  <c r="L12" i="30"/>
  <c r="D76" i="23"/>
  <c r="L53" i="23"/>
  <c r="D78" i="23"/>
  <c r="H53" i="23"/>
  <c r="L23" i="23"/>
  <c r="D79" i="23"/>
  <c r="L13" i="23"/>
  <c r="K13" i="23"/>
  <c r="L50" i="21"/>
  <c r="L51" i="21" s="1"/>
  <c r="L27" i="21"/>
  <c r="L59" i="21"/>
  <c r="L35" i="21"/>
  <c r="L43" i="21"/>
  <c r="L17" i="21"/>
  <c r="L19" i="21" s="1"/>
  <c r="C62" i="21"/>
  <c r="C61" i="21"/>
  <c r="L11" i="21"/>
  <c r="L50" i="22"/>
  <c r="L51" i="22"/>
  <c r="L43" i="22"/>
  <c r="L19" i="22"/>
  <c r="C63" i="22"/>
  <c r="C64" i="22"/>
  <c r="L11" i="22"/>
  <c r="L9" i="20"/>
  <c r="L106" i="20"/>
  <c r="L111" i="20"/>
  <c r="E83" i="20"/>
  <c r="H83" i="20"/>
  <c r="K83" i="20"/>
  <c r="L97" i="20"/>
  <c r="E67" i="20"/>
  <c r="H51" i="20"/>
  <c r="H67" i="20"/>
  <c r="L105" i="20"/>
  <c r="L93" i="20"/>
  <c r="L96" i="20"/>
  <c r="L104" i="20"/>
  <c r="L88" i="20"/>
  <c r="L94" i="20"/>
  <c r="L13" i="20"/>
  <c r="L95" i="20"/>
  <c r="L66" i="20"/>
  <c r="L82" i="20"/>
  <c r="L92" i="20"/>
  <c r="L74" i="20"/>
  <c r="L79" i="20"/>
  <c r="L24" i="20"/>
  <c r="K67" i="20"/>
  <c r="L60" i="20"/>
  <c r="L64" i="20"/>
  <c r="L75" i="20"/>
  <c r="L77" i="20"/>
  <c r="K35" i="20"/>
  <c r="H19" i="20"/>
  <c r="E51" i="20"/>
  <c r="L90" i="20"/>
  <c r="L56" i="20"/>
  <c r="L80" i="20"/>
  <c r="K51" i="20"/>
  <c r="L58" i="20"/>
  <c r="L59" i="20"/>
  <c r="L63" i="20"/>
  <c r="L27" i="20"/>
  <c r="L47" i="20"/>
  <c r="L62" i="20"/>
  <c r="L15" i="20"/>
  <c r="L43" i="20"/>
  <c r="L50" i="20"/>
  <c r="E19" i="20"/>
  <c r="L12" i="20"/>
  <c r="L16" i="20"/>
  <c r="L25" i="20"/>
  <c r="L46" i="20"/>
  <c r="L73" i="20"/>
  <c r="L49" i="20"/>
  <c r="L30" i="20"/>
  <c r="L17" i="20"/>
  <c r="L10" i="20"/>
  <c r="L18" i="20"/>
  <c r="L32" i="20"/>
  <c r="L8" i="20"/>
  <c r="L29" i="20"/>
  <c r="L34" i="20"/>
  <c r="L26" i="20"/>
  <c r="L89" i="20"/>
  <c r="L45" i="20"/>
  <c r="L14" i="20"/>
  <c r="L41" i="20"/>
  <c r="L33" i="20"/>
  <c r="L31" i="20"/>
  <c r="L11" i="20"/>
  <c r="L28" i="20"/>
  <c r="L42" i="20"/>
  <c r="H35" i="20"/>
  <c r="E35" i="20"/>
  <c r="H5" i="21"/>
  <c r="H13" i="22"/>
  <c r="H21" i="22" s="1"/>
  <c r="H29" i="22" s="1"/>
  <c r="H37" i="22" s="1"/>
  <c r="H45" i="22" s="1"/>
  <c r="H53" i="22" s="1"/>
  <c r="L40" i="20"/>
  <c r="L72" i="20"/>
  <c r="K19" i="20"/>
  <c r="H21" i="20"/>
  <c r="H37" i="20" s="1"/>
  <c r="H53" i="20" s="1"/>
  <c r="H69" i="20" s="1"/>
  <c r="H85" i="20" s="1"/>
  <c r="H101" i="20" s="1"/>
  <c r="C131" i="31" l="1"/>
  <c r="L37" i="31"/>
  <c r="L20" i="31"/>
  <c r="D70" i="30"/>
  <c r="C63" i="21"/>
  <c r="L99" i="20"/>
  <c r="C122" i="20"/>
  <c r="C123" i="20"/>
  <c r="C125" i="20"/>
  <c r="L83" i="20"/>
  <c r="L51" i="20"/>
  <c r="L67" i="20"/>
  <c r="L19" i="20"/>
  <c r="C119" i="20"/>
  <c r="C124" i="20"/>
  <c r="C121" i="20"/>
  <c r="L35" i="20"/>
  <c r="C120" i="20"/>
  <c r="H5" i="24"/>
  <c r="H13" i="21"/>
  <c r="H21" i="21" s="1"/>
  <c r="H29" i="21" s="1"/>
  <c r="H37" i="21" s="1"/>
  <c r="H45" i="21" s="1"/>
  <c r="H53" i="21" s="1"/>
  <c r="C118" i="20"/>
  <c r="H5" i="23" l="1"/>
  <c r="H23" i="24"/>
  <c r="H42" i="24" s="1"/>
  <c r="H60" i="24" s="1"/>
  <c r="H78" i="24" s="1"/>
  <c r="H95" i="24" s="1"/>
  <c r="H113" i="24" s="1"/>
  <c r="H5" i="28" l="1"/>
  <c r="H12" i="28" s="1"/>
  <c r="H19" i="28" s="1"/>
  <c r="H26" i="28" s="1"/>
  <c r="H33" i="28" s="1"/>
  <c r="H39" i="28" s="1"/>
  <c r="H45" i="28" s="1"/>
  <c r="H15" i="23"/>
  <c r="H25" i="23" s="1"/>
  <c r="H35" i="23" s="1"/>
  <c r="H45" i="23" s="1"/>
  <c r="H55" i="23" s="1"/>
  <c r="H65" i="23" s="1"/>
  <c r="H5" i="30"/>
  <c r="H14" i="30" l="1"/>
  <c r="H23" i="30" s="1"/>
  <c r="H32" i="30" s="1"/>
  <c r="H41" i="30" s="1"/>
  <c r="H50" i="30" s="1"/>
  <c r="H59" i="30" s="1"/>
  <c r="H5" i="39"/>
  <c r="H5" i="25" l="1"/>
  <c r="H12" i="39"/>
  <c r="H19" i="39" s="1"/>
  <c r="H26" i="39" s="1"/>
  <c r="H33" i="39" s="1"/>
  <c r="H40" i="39" s="1"/>
  <c r="H47" i="39" s="1"/>
  <c r="H13" i="25" l="1"/>
  <c r="H21" i="25" s="1"/>
  <c r="H29" i="25" s="1"/>
  <c r="H37" i="25" s="1"/>
  <c r="H45" i="25" s="1"/>
  <c r="H53" i="25" s="1"/>
  <c r="H5" i="26"/>
  <c r="H5" i="42" l="1"/>
  <c r="H19" i="42" s="1"/>
  <c r="H30" i="42" s="1"/>
  <c r="H43" i="42" s="1"/>
  <c r="H54" i="42" s="1"/>
  <c r="H65" i="42" s="1"/>
  <c r="H77" i="42" s="1"/>
  <c r="H14" i="26"/>
  <c r="H23" i="26" s="1"/>
  <c r="H32" i="26" s="1"/>
  <c r="H41" i="26" s="1"/>
  <c r="H50" i="26" s="1"/>
  <c r="H59" i="26" s="1"/>
  <c r="H5" i="31"/>
  <c r="H22" i="31" l="1"/>
  <c r="H39" i="31" s="1"/>
  <c r="H56" i="31" s="1"/>
  <c r="H73" i="31" s="1"/>
  <c r="H90" i="31" s="1"/>
  <c r="H107" i="31" s="1"/>
  <c r="H5" i="47"/>
  <c r="H22" i="47" s="1"/>
  <c r="H38" i="47" s="1"/>
  <c r="H57" i="47" s="1"/>
  <c r="H75" i="47" s="1"/>
  <c r="H91" i="47" s="1"/>
  <c r="H108" i="47" s="1"/>
  <c r="H5" i="18"/>
  <c r="H5" i="14" l="1"/>
  <c r="H18" i="14" s="1"/>
  <c r="H31" i="14" s="1"/>
  <c r="H44" i="14" s="1"/>
  <c r="H57" i="14" s="1"/>
  <c r="H70" i="14" s="1"/>
  <c r="H83" i="14" s="1"/>
  <c r="H16" i="18"/>
  <c r="H27" i="18" s="1"/>
  <c r="H38" i="18" s="1"/>
  <c r="H49" i="18" s="1"/>
  <c r="H60" i="18" s="1"/>
  <c r="H71" i="18" s="1"/>
</calcChain>
</file>

<file path=xl/sharedStrings.xml><?xml version="1.0" encoding="utf-8"?>
<sst xmlns="http://schemas.openxmlformats.org/spreadsheetml/2006/main" count="5178" uniqueCount="333">
  <si>
    <t>EMPLOI DU TEMPS CUISINE SNACK WEEK 36</t>
  </si>
  <si>
    <t xml:space="preserve"> </t>
  </si>
  <si>
    <t>CUISINE SNACK</t>
  </si>
  <si>
    <t>matin</t>
  </si>
  <si>
    <t>après-midi</t>
  </si>
  <si>
    <t>soir</t>
  </si>
  <si>
    <t>Personne</t>
  </si>
  <si>
    <t>entrée</t>
  </si>
  <si>
    <t>sortie</t>
  </si>
  <si>
    <t>durée</t>
  </si>
  <si>
    <t>durée total</t>
  </si>
  <si>
    <t>P477</t>
  </si>
  <si>
    <t>ANYAH</t>
  </si>
  <si>
    <t>P522</t>
  </si>
  <si>
    <t>AVOTRA</t>
  </si>
  <si>
    <t>P543</t>
  </si>
  <si>
    <t>AUGUSTIN</t>
  </si>
  <si>
    <t>P404</t>
  </si>
  <si>
    <t>EDHINO</t>
  </si>
  <si>
    <t>P472</t>
  </si>
  <si>
    <t>HERMANN</t>
  </si>
  <si>
    <t>P324</t>
  </si>
  <si>
    <t>JEAN CHRYS</t>
  </si>
  <si>
    <t>P469</t>
  </si>
  <si>
    <t>RAVAKA</t>
  </si>
  <si>
    <t>REPOS</t>
  </si>
  <si>
    <t>P268</t>
  </si>
  <si>
    <t>ROLAND</t>
  </si>
  <si>
    <t>P419</t>
  </si>
  <si>
    <t>ZIANI</t>
  </si>
  <si>
    <t>Stagiaire</t>
  </si>
  <si>
    <t>JIMMY</t>
  </si>
  <si>
    <t>MARDI</t>
  </si>
  <si>
    <t>MANOELA</t>
  </si>
  <si>
    <t>MERCREDI</t>
  </si>
  <si>
    <t>JEUDI</t>
  </si>
  <si>
    <t>VENDREDI</t>
  </si>
  <si>
    <t>SAMEDI</t>
  </si>
  <si>
    <t>DIMANCHE</t>
  </si>
  <si>
    <t>LUNDI</t>
  </si>
  <si>
    <t>RECAP</t>
  </si>
  <si>
    <t>EMPLOI DU TEMPS SALLE SNACK WEEK 37</t>
  </si>
  <si>
    <t>SALLE SNACK</t>
  </si>
  <si>
    <t>P513</t>
  </si>
  <si>
    <t>FITIA</t>
  </si>
  <si>
    <t>P511</t>
  </si>
  <si>
    <t>TAHIRY</t>
  </si>
  <si>
    <t>P313</t>
  </si>
  <si>
    <t>TANTELY</t>
  </si>
  <si>
    <t>P474</t>
  </si>
  <si>
    <t>TINA</t>
  </si>
  <si>
    <t>P540</t>
  </si>
  <si>
    <t>CLARAH</t>
  </si>
  <si>
    <t>P551</t>
  </si>
  <si>
    <t>FIANTSA</t>
  </si>
  <si>
    <t>P332</t>
  </si>
  <si>
    <t>ALIDAH</t>
  </si>
  <si>
    <t>CHRISTOPHE</t>
  </si>
  <si>
    <t>MITIA</t>
  </si>
  <si>
    <t>CM</t>
  </si>
  <si>
    <t>P457</t>
  </si>
  <si>
    <t>LYDIA</t>
  </si>
  <si>
    <t>EMPLOI DU TEMPS PATISSERIE-PIZZA WEEK 36</t>
  </si>
  <si>
    <t>PATISSERIE &amp; PIZZA</t>
  </si>
  <si>
    <t>P497</t>
  </si>
  <si>
    <t>FREDDY</t>
  </si>
  <si>
    <t>P297</t>
  </si>
  <si>
    <t>RIRI</t>
  </si>
  <si>
    <t>P353</t>
  </si>
  <si>
    <t>FLORIDA</t>
  </si>
  <si>
    <t>CHRISTIAN</t>
  </si>
  <si>
    <t>ANDRY</t>
  </si>
  <si>
    <t>P399</t>
  </si>
  <si>
    <t>BOSCO</t>
  </si>
  <si>
    <t>STAN</t>
  </si>
  <si>
    <t>MATHILDA</t>
  </si>
  <si>
    <t>EMPLOI DU TEMPS CUISINE CANTINE WEEK 36</t>
  </si>
  <si>
    <t>CUISINE CANTINE</t>
  </si>
  <si>
    <t>-</t>
  </si>
  <si>
    <t>ZOLY</t>
  </si>
  <si>
    <t>P524</t>
  </si>
  <si>
    <t>CEDRIC</t>
  </si>
  <si>
    <t>EMPLOI DU TEMPS CUISINE DETENTE WEEK 36</t>
  </si>
  <si>
    <t>CUISINE DETENTE</t>
  </si>
  <si>
    <t>P515</t>
  </si>
  <si>
    <t>JOHNNY</t>
  </si>
  <si>
    <t>DAUDET</t>
  </si>
  <si>
    <t>EMPLOI DU TEMPS DETENTE WEEK 37</t>
  </si>
  <si>
    <t>SALLE DETENTE</t>
  </si>
  <si>
    <t>P331</t>
  </si>
  <si>
    <t>JERRY</t>
  </si>
  <si>
    <t>P348</t>
  </si>
  <si>
    <t>DENIS</t>
  </si>
  <si>
    <t>P503</t>
  </si>
  <si>
    <t>BRANDON</t>
  </si>
  <si>
    <t>P518</t>
  </si>
  <si>
    <t>LAZA</t>
  </si>
  <si>
    <t>P538</t>
  </si>
  <si>
    <t>ERICKA</t>
  </si>
  <si>
    <t>P541</t>
  </si>
  <si>
    <t>TATIANAH</t>
  </si>
  <si>
    <t>KANTO</t>
  </si>
  <si>
    <t>FANJA</t>
  </si>
  <si>
    <t>EMPLOI DU TEMPS CUISINE RESTO WEEK 36</t>
  </si>
  <si>
    <t>CUISINE RESTO</t>
  </si>
  <si>
    <t>P525</t>
  </si>
  <si>
    <t>ANJARA</t>
  </si>
  <si>
    <t>P545</t>
  </si>
  <si>
    <t>CELESTIN</t>
  </si>
  <si>
    <t>P441</t>
  </si>
  <si>
    <t>P439</t>
  </si>
  <si>
    <t>HERY</t>
  </si>
  <si>
    <t>P542</t>
  </si>
  <si>
    <t>JEAN JACQUES</t>
  </si>
  <si>
    <t>P501</t>
  </si>
  <si>
    <t>PATRICK</t>
  </si>
  <si>
    <t>P461</t>
  </si>
  <si>
    <t>SAFIDY</t>
  </si>
  <si>
    <t>P411</t>
  </si>
  <si>
    <t>TOLOTRA</t>
  </si>
  <si>
    <t>P449</t>
  </si>
  <si>
    <t>TSILAVINA</t>
  </si>
  <si>
    <t>P546</t>
  </si>
  <si>
    <t>XAVIER</t>
  </si>
  <si>
    <t>TOKY</t>
  </si>
  <si>
    <t>NANJA</t>
  </si>
  <si>
    <t>EMPLOI DU TEMPS PLONGE WEEK 37</t>
  </si>
  <si>
    <t>PLONGE</t>
  </si>
  <si>
    <t>P451</t>
  </si>
  <si>
    <t>P466</t>
  </si>
  <si>
    <t>HANITRA</t>
  </si>
  <si>
    <t>P486</t>
  </si>
  <si>
    <t>PAULETTE</t>
  </si>
  <si>
    <t>P476</t>
  </si>
  <si>
    <t>VANULIE</t>
  </si>
  <si>
    <t>P455</t>
  </si>
  <si>
    <t>NIRY</t>
  </si>
  <si>
    <t>P544</t>
  </si>
  <si>
    <t>MARIO</t>
  </si>
  <si>
    <t>VANILIE</t>
  </si>
  <si>
    <t>EMPLOI DU TEMPS SALLE RESTO WEEK 37</t>
  </si>
  <si>
    <t>P447</t>
  </si>
  <si>
    <t>BABY</t>
  </si>
  <si>
    <t>P185</t>
  </si>
  <si>
    <t>EUGENIE</t>
  </si>
  <si>
    <t>P042</t>
  </si>
  <si>
    <t>LANDRY</t>
  </si>
  <si>
    <t>P358</t>
  </si>
  <si>
    <t>RHODIE</t>
  </si>
  <si>
    <t>P507</t>
  </si>
  <si>
    <t>NOMENA</t>
  </si>
  <si>
    <t>P180</t>
  </si>
  <si>
    <t>VOAHANGY</t>
  </si>
  <si>
    <t>P537</t>
  </si>
  <si>
    <t>ALAIN</t>
  </si>
  <si>
    <t>FRANCIA</t>
  </si>
  <si>
    <t>N</t>
  </si>
  <si>
    <t>NIAVO</t>
  </si>
  <si>
    <t>EMPLOI DU TEMPS STOCKISTE WEEK 36</t>
  </si>
  <si>
    <t>STOCKISTE</t>
  </si>
  <si>
    <t>P550</t>
  </si>
  <si>
    <t>ROSTAND</t>
  </si>
  <si>
    <t>P547</t>
  </si>
  <si>
    <t>RINO</t>
  </si>
  <si>
    <t>P539</t>
  </si>
  <si>
    <t>RAMORA</t>
  </si>
  <si>
    <t xml:space="preserve">                                    </t>
  </si>
  <si>
    <t>EMPLOI DU TEMPS  ESPACE COMMUN WEEK37</t>
  </si>
  <si>
    <t>RESPONSABLE ESPACE COMMUN</t>
  </si>
  <si>
    <t>P386</t>
  </si>
  <si>
    <t>OLIVA</t>
  </si>
  <si>
    <t>EMPLOI DU TEMPS COMMUNICATION WEEK 37</t>
  </si>
  <si>
    <t>COMMUNICATION</t>
  </si>
  <si>
    <t>P484</t>
  </si>
  <si>
    <t>MIKA</t>
  </si>
  <si>
    <t>P490</t>
  </si>
  <si>
    <t>MINO</t>
  </si>
  <si>
    <t>P528</t>
  </si>
  <si>
    <t>FAMENO</t>
  </si>
  <si>
    <t>EMPLOI DU TEMPS RECEPTION WEEK 37</t>
  </si>
  <si>
    <t>RECEPTION</t>
  </si>
  <si>
    <t>P436</t>
  </si>
  <si>
    <t>MINOSOA</t>
  </si>
  <si>
    <t>P024</t>
  </si>
  <si>
    <t>MICHELLE</t>
  </si>
  <si>
    <t>P481</t>
  </si>
  <si>
    <t>FANIRY DIANE</t>
  </si>
  <si>
    <t>P526</t>
  </si>
  <si>
    <t>TSIRESY</t>
  </si>
  <si>
    <t>P491</t>
  </si>
  <si>
    <t>FRANCKY</t>
  </si>
  <si>
    <t>P530</t>
  </si>
  <si>
    <t>HARSON</t>
  </si>
  <si>
    <t>P549</t>
  </si>
  <si>
    <t>SITRAKA</t>
  </si>
  <si>
    <t>P548</t>
  </si>
  <si>
    <t>HERIS</t>
  </si>
  <si>
    <t>SYLVIA</t>
  </si>
  <si>
    <t>ANGELA</t>
  </si>
  <si>
    <t>LARISSA</t>
  </si>
  <si>
    <t>EMPLOI DU TEMPS GOUVERNANTE WEEK 36</t>
  </si>
  <si>
    <t>GOUVERNANTE</t>
  </si>
  <si>
    <t>P228</t>
  </si>
  <si>
    <t>DESIREE</t>
  </si>
  <si>
    <t>P188</t>
  </si>
  <si>
    <t>BERTHINE</t>
  </si>
  <si>
    <t>P346</t>
  </si>
  <si>
    <t>SYRIAH</t>
  </si>
  <si>
    <t>PISCINE</t>
  </si>
  <si>
    <t>P400</t>
  </si>
  <si>
    <t>FENO</t>
  </si>
  <si>
    <t>P360</t>
  </si>
  <si>
    <t>HANTA</t>
  </si>
  <si>
    <t>P433</t>
  </si>
  <si>
    <t>MELINE</t>
  </si>
  <si>
    <t>EMPLOI DU TEMPS SERVICE ETAGE WEEK 36</t>
  </si>
  <si>
    <t>SERVICE ETAGE</t>
  </si>
  <si>
    <t>P193</t>
  </si>
  <si>
    <t>BRIGITTE</t>
  </si>
  <si>
    <t>P295</t>
  </si>
  <si>
    <t>DANIELA</t>
  </si>
  <si>
    <t>P432</t>
  </si>
  <si>
    <t>ANGELINE</t>
  </si>
  <si>
    <t>P359</t>
  </si>
  <si>
    <t>NIRINA</t>
  </si>
  <si>
    <t>P427</t>
  </si>
  <si>
    <t>P488</t>
  </si>
  <si>
    <t>CLAUDINE</t>
  </si>
  <si>
    <t>Extra</t>
  </si>
  <si>
    <t>JEANNINE</t>
  </si>
  <si>
    <t>DIARY</t>
  </si>
  <si>
    <t>Stag</t>
  </si>
  <si>
    <t>TOVO</t>
  </si>
  <si>
    <t>MANOUELA</t>
  </si>
  <si>
    <t>ROGER</t>
  </si>
  <si>
    <t>PAUL</t>
  </si>
  <si>
    <t>EMPLOI DU TEMPS LESSIVEUSE WEEK 36</t>
  </si>
  <si>
    <t>LESSIVEUSE</t>
  </si>
  <si>
    <t>P482</t>
  </si>
  <si>
    <t>HOBY</t>
  </si>
  <si>
    <t>P254</t>
  </si>
  <si>
    <t>VOLOLONA</t>
  </si>
  <si>
    <t>P521</t>
  </si>
  <si>
    <t>MARIE JEANNE</t>
  </si>
  <si>
    <t>SAROBIDY</t>
  </si>
  <si>
    <t>EXTRA-ROSE</t>
  </si>
  <si>
    <t>P479</t>
  </si>
  <si>
    <t>CANTINE</t>
  </si>
  <si>
    <t>P502</t>
  </si>
  <si>
    <t>MAMINIAINA</t>
  </si>
  <si>
    <t>Congé de Maternité</t>
  </si>
  <si>
    <t>HAJATIANA</t>
  </si>
  <si>
    <t>NETTOYEUR</t>
  </si>
  <si>
    <t>P428</t>
  </si>
  <si>
    <t>SAMUEL</t>
  </si>
  <si>
    <t>P443</t>
  </si>
  <si>
    <t>DANIEL</t>
  </si>
  <si>
    <t>P403</t>
  </si>
  <si>
    <t>CANDRA</t>
  </si>
  <si>
    <t>P510</t>
  </si>
  <si>
    <t>TAFITA</t>
  </si>
  <si>
    <t>JARDINIER</t>
  </si>
  <si>
    <t>P283</t>
  </si>
  <si>
    <t>LALAINA</t>
  </si>
  <si>
    <t>P012</t>
  </si>
  <si>
    <t>TSIORY</t>
  </si>
  <si>
    <t xml:space="preserve">SAMEDI </t>
  </si>
  <si>
    <t>P401</t>
  </si>
  <si>
    <t>HAJA</t>
  </si>
  <si>
    <t>CHAUFFEUR</t>
  </si>
  <si>
    <t>P218</t>
  </si>
  <si>
    <t>P189</t>
  </si>
  <si>
    <t>JOSEPH</t>
  </si>
  <si>
    <t>P505</t>
  </si>
  <si>
    <t>MAHANDRY</t>
  </si>
  <si>
    <t>MAINTENANCE</t>
  </si>
  <si>
    <t>P029</t>
  </si>
  <si>
    <t>HONORE</t>
  </si>
  <si>
    <t>P343</t>
  </si>
  <si>
    <t>CHARLES</t>
  </si>
  <si>
    <t>P480</t>
  </si>
  <si>
    <t>SENDRA</t>
  </si>
  <si>
    <t>P504</t>
  </si>
  <si>
    <t>JOELINA</t>
  </si>
  <si>
    <t>EMPLOI DU TEMPS SECURITE WEEK 36</t>
  </si>
  <si>
    <t>SECURITE</t>
  </si>
  <si>
    <t>P493</t>
  </si>
  <si>
    <t xml:space="preserve">AUGUSTE </t>
  </si>
  <si>
    <t>P492</t>
  </si>
  <si>
    <t>BAHELY</t>
  </si>
  <si>
    <t>P424</t>
  </si>
  <si>
    <t>ESTEIN</t>
  </si>
  <si>
    <t>P520</t>
  </si>
  <si>
    <t>FANO</t>
  </si>
  <si>
    <t>P448</t>
  </si>
  <si>
    <t>LIMON</t>
  </si>
  <si>
    <t>P292</t>
  </si>
  <si>
    <t>MAMPIONONA</t>
  </si>
  <si>
    <t>P194</t>
  </si>
  <si>
    <t>NJATO</t>
  </si>
  <si>
    <t>P523</t>
  </si>
  <si>
    <t>SANDA</t>
  </si>
  <si>
    <t>P339</t>
  </si>
  <si>
    <t>P304</t>
  </si>
  <si>
    <t>P209</t>
  </si>
  <si>
    <t>VICTOR</t>
  </si>
  <si>
    <t>P318</t>
  </si>
  <si>
    <t>ZINO</t>
  </si>
  <si>
    <t xml:space="preserve">AUGUSTE  </t>
  </si>
  <si>
    <t xml:space="preserve">AUGUST  </t>
  </si>
  <si>
    <t>EMPLOI DU TEMPS ADMINISTRATION WEEK 36</t>
  </si>
  <si>
    <t>ADMINISTRATION</t>
  </si>
  <si>
    <t>P347</t>
  </si>
  <si>
    <t>MISA</t>
  </si>
  <si>
    <t>P454</t>
  </si>
  <si>
    <t>MAHASOA</t>
  </si>
  <si>
    <t>P475</t>
  </si>
  <si>
    <t>STEPHANIE</t>
  </si>
  <si>
    <t>P483</t>
  </si>
  <si>
    <t>WILLY</t>
  </si>
  <si>
    <t>P516</t>
  </si>
  <si>
    <t>RIVO</t>
  </si>
  <si>
    <t>P489</t>
  </si>
  <si>
    <t>RODDY</t>
  </si>
  <si>
    <t>P116</t>
  </si>
  <si>
    <t>P527</t>
  </si>
  <si>
    <t>Flobert</t>
  </si>
  <si>
    <t>EMPLOI DU TEMPS PISCINE WEEK 37</t>
  </si>
  <si>
    <t>EMPLOI DU TEMPS CHAUFFEUR WEEK 37</t>
  </si>
  <si>
    <t>EMPLOI DU TEMPS JARDINIER WEEK 37</t>
  </si>
  <si>
    <t>EMPLOI DU TEMPS NETTOYEUR WEEK 37</t>
  </si>
  <si>
    <t>EMPLOI DU TEMPS CANTINE WEEK 37</t>
  </si>
  <si>
    <t>EMPLOI DU TEMPS MANTENANCE WEEK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</si>
</sst>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h]:mm"/>
    <numFmt numFmtId="165" formatCode="yyyy\-mm\-dd;@"/>
    <numFmt numFmtId="166" formatCode="0.0000%"/>
    <numFmt numFmtId="167" formatCode="_-* #,##0.00\ _€_-;\-* #,##0.00\ _€_-;_-* &quot;-&quot;??\ _€_-;_-@_-"/>
    <numFmt numFmtId="168" formatCode="_-* #,##0.000\ _€_-;\-* #,##0.000\ _€_-;_-* &quot;-&quot;??\ _€_-;_-@_-"/>
    <numFmt numFmtId="169" formatCode="\j\o\u\r"/>
  </numFmts>
  <fonts count="21">
    <font>
      <sz val="11"/>
      <color theme="1"/>
      <name val="Calibri"/>
      <charset val="134"/>
      <scheme val="minor"/>
    </font>
    <font>
      <b/>
      <i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70C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</borders>
  <cellStyleXfs count="4">
    <xf numFmtId="0" fontId="0" fillId="0" borderId="0"/>
    <xf numFmtId="43" fontId="20" fillId="0" borderId="0" applyFont="0" applyFill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" fontId="2" fillId="0" borderId="0" xfId="0" applyNumberFormat="1" applyFont="1" applyAlignment="1">
      <alignment horizontal="left"/>
    </xf>
    <xf numFmtId="0" fontId="5" fillId="4" borderId="1" xfId="2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/>
    <xf numFmtId="0" fontId="5" fillId="5" borderId="1" xfId="2" applyFill="1" applyBorder="1" applyAlignment="1">
      <alignment horizontal="center"/>
    </xf>
    <xf numFmtId="164" fontId="0" fillId="0" borderId="1" xfId="0" applyNumberFormat="1" applyBorder="1"/>
    <xf numFmtId="20" fontId="0" fillId="0" borderId="0" xfId="0" applyNumberFormat="1"/>
    <xf numFmtId="164" fontId="0" fillId="6" borderId="2" xfId="0" applyNumberFormat="1" applyFill="1" applyBorder="1"/>
    <xf numFmtId="164" fontId="2" fillId="0" borderId="0" xfId="0" applyNumberFormat="1" applyFont="1"/>
    <xf numFmtId="164" fontId="0" fillId="0" borderId="0" xfId="0" applyNumberFormat="1"/>
    <xf numFmtId="164" fontId="0" fillId="6" borderId="1" xfId="0" applyNumberFormat="1" applyFill="1" applyBorder="1"/>
    <xf numFmtId="164" fontId="1" fillId="0" borderId="0" xfId="0" applyNumberFormat="1" applyFont="1"/>
    <xf numFmtId="0" fontId="4" fillId="0" borderId="1" xfId="0" applyFont="1" applyBorder="1" applyAlignment="1">
      <alignment horizontal="center"/>
    </xf>
    <xf numFmtId="164" fontId="2" fillId="0" borderId="2" xfId="0" applyNumberFormat="1" applyFont="1" applyBorder="1"/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20" fontId="2" fillId="0" borderId="0" xfId="0" applyNumberFormat="1" applyFont="1" applyAlignment="1">
      <alignment horizontal="right"/>
    </xf>
    <xf numFmtId="164" fontId="2" fillId="0" borderId="1" xfId="0" applyNumberFormat="1" applyFont="1" applyBorder="1"/>
    <xf numFmtId="20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20" fontId="7" fillId="9" borderId="1" xfId="2" applyNumberFormat="1" applyFont="1" applyFill="1" applyBorder="1" applyAlignment="1">
      <alignment horizontal="center"/>
    </xf>
    <xf numFmtId="164" fontId="7" fillId="9" borderId="1" xfId="0" applyNumberFormat="1" applyFont="1" applyFill="1" applyBorder="1"/>
    <xf numFmtId="164" fontId="8" fillId="9" borderId="1" xfId="0" applyNumberFormat="1" applyFont="1" applyFill="1" applyBorder="1"/>
    <xf numFmtId="164" fontId="8" fillId="9" borderId="2" xfId="0" applyNumberFormat="1" applyFont="1" applyFill="1" applyBorder="1"/>
    <xf numFmtId="0" fontId="8" fillId="9" borderId="0" xfId="0" applyFont="1" applyFill="1"/>
    <xf numFmtId="0" fontId="9" fillId="0" borderId="0" xfId="0" applyFont="1"/>
    <xf numFmtId="164" fontId="6" fillId="6" borderId="2" xfId="0" applyNumberFormat="1" applyFont="1" applyFill="1" applyBorder="1"/>
    <xf numFmtId="164" fontId="6" fillId="6" borderId="1" xfId="0" applyNumberFormat="1" applyFont="1" applyFill="1" applyBorder="1"/>
    <xf numFmtId="164" fontId="6" fillId="0" borderId="2" xfId="0" applyNumberFormat="1" applyFont="1" applyBorder="1"/>
    <xf numFmtId="164" fontId="2" fillId="10" borderId="2" xfId="0" applyNumberFormat="1" applyFont="1" applyFill="1" applyBorder="1"/>
    <xf numFmtId="164" fontId="6" fillId="10" borderId="2" xfId="0" applyNumberFormat="1" applyFont="1" applyFill="1" applyBorder="1"/>
    <xf numFmtId="164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64" fontId="11" fillId="0" borderId="2" xfId="0" applyNumberFormat="1" applyFont="1" applyBorder="1"/>
    <xf numFmtId="164" fontId="0" fillId="11" borderId="2" xfId="0" applyNumberFormat="1" applyFill="1" applyBorder="1"/>
    <xf numFmtId="0" fontId="10" fillId="0" borderId="0" xfId="0" applyFont="1"/>
    <xf numFmtId="164" fontId="0" fillId="6" borderId="0" xfId="0" applyNumberFormat="1" applyFill="1"/>
    <xf numFmtId="164" fontId="10" fillId="0" borderId="2" xfId="0" applyNumberFormat="1" applyFont="1" applyBorder="1"/>
    <xf numFmtId="164" fontId="12" fillId="0" borderId="2" xfId="0" applyNumberFormat="1" applyFont="1" applyBorder="1"/>
    <xf numFmtId="164" fontId="4" fillId="0" borderId="2" xfId="0" applyNumberFormat="1" applyFont="1" applyBorder="1"/>
    <xf numFmtId="164" fontId="4" fillId="6" borderId="2" xfId="0" applyNumberFormat="1" applyFont="1" applyFill="1" applyBorder="1"/>
    <xf numFmtId="164" fontId="4" fillId="0" borderId="1" xfId="0" applyNumberFormat="1" applyFont="1" applyBorder="1"/>
    <xf numFmtId="164" fontId="4" fillId="6" borderId="1" xfId="0" applyNumberFormat="1" applyFont="1" applyFill="1" applyBorder="1"/>
    <xf numFmtId="43" fontId="0" fillId="0" borderId="0" xfId="1" applyFont="1"/>
    <xf numFmtId="43" fontId="2" fillId="0" borderId="0" xfId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3" fontId="13" fillId="0" borderId="0" xfId="1" applyFont="1"/>
    <xf numFmtId="164" fontId="0" fillId="12" borderId="2" xfId="0" applyNumberFormat="1" applyFill="1" applyBorder="1"/>
    <xf numFmtId="0" fontId="10" fillId="13" borderId="0" xfId="0" applyFont="1" applyFill="1" applyAlignment="1">
      <alignment horizontal="center"/>
    </xf>
    <xf numFmtId="20" fontId="10" fillId="0" borderId="0" xfId="0" applyNumberFormat="1" applyFont="1"/>
    <xf numFmtId="169" fontId="2" fillId="0" borderId="0" xfId="0" applyNumberFormat="1" applyFont="1" applyAlignment="1">
      <alignment horizontal="right"/>
    </xf>
    <xf numFmtId="0" fontId="0" fillId="13" borderId="0" xfId="0" applyFill="1" applyAlignment="1">
      <alignment horizontal="center"/>
    </xf>
    <xf numFmtId="164" fontId="0" fillId="12" borderId="1" xfId="0" applyNumberFormat="1" applyFill="1" applyBorder="1"/>
    <xf numFmtId="0" fontId="0" fillId="12" borderId="0" xfId="0" applyFill="1"/>
    <xf numFmtId="0" fontId="6" fillId="12" borderId="0" xfId="0" applyFont="1" applyFill="1"/>
    <xf numFmtId="0" fontId="14" fillId="0" borderId="0" xfId="0" applyFont="1"/>
    <xf numFmtId="0" fontId="0" fillId="14" borderId="1" xfId="0" applyFill="1" applyBorder="1" applyAlignment="1">
      <alignment horizontal="center"/>
    </xf>
    <xf numFmtId="164" fontId="12" fillId="0" borderId="1" xfId="0" applyNumberFormat="1" applyFont="1" applyBorder="1"/>
    <xf numFmtId="0" fontId="0" fillId="11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164" fontId="4" fillId="0" borderId="0" xfId="0" applyNumberFormat="1" applyFont="1"/>
    <xf numFmtId="164" fontId="1" fillId="0" borderId="1" xfId="0" applyNumberFormat="1" applyFont="1" applyBorder="1"/>
    <xf numFmtId="0" fontId="0" fillId="10" borderId="0" xfId="0" applyFill="1" applyAlignment="1">
      <alignment horizontal="center"/>
    </xf>
    <xf numFmtId="164" fontId="6" fillId="12" borderId="1" xfId="0" applyNumberFormat="1" applyFont="1" applyFill="1" applyBorder="1"/>
    <xf numFmtId="164" fontId="6" fillId="12" borderId="2" xfId="0" applyNumberFormat="1" applyFont="1" applyFill="1" applyBorder="1"/>
    <xf numFmtId="164" fontId="4" fillId="15" borderId="1" xfId="0" applyNumberFormat="1" applyFont="1" applyFill="1" applyBorder="1"/>
    <xf numFmtId="164" fontId="6" fillId="0" borderId="1" xfId="0" applyNumberFormat="1" applyFont="1" applyBorder="1"/>
    <xf numFmtId="164" fontId="1" fillId="12" borderId="1" xfId="0" applyNumberFormat="1" applyFont="1" applyFill="1" applyBorder="1"/>
    <xf numFmtId="0" fontId="0" fillId="14" borderId="0" xfId="0" applyFill="1" applyAlignment="1">
      <alignment horizontal="center"/>
    </xf>
    <xf numFmtId="0" fontId="4" fillId="0" borderId="0" xfId="0" applyFont="1" applyAlignment="1">
      <alignment horizontal="right"/>
    </xf>
    <xf numFmtId="0" fontId="4" fillId="12" borderId="0" xfId="0" applyFont="1" applyFill="1" applyAlignment="1">
      <alignment horizontal="right"/>
    </xf>
    <xf numFmtId="0" fontId="0" fillId="16" borderId="1" xfId="0" applyFill="1" applyBorder="1" applyAlignment="1">
      <alignment horizontal="center"/>
    </xf>
    <xf numFmtId="0" fontId="0" fillId="12" borderId="0" xfId="0" applyFill="1" applyAlignment="1">
      <alignment horizontal="right"/>
    </xf>
    <xf numFmtId="0" fontId="15" fillId="12" borderId="0" xfId="0" applyFont="1" applyFill="1"/>
    <xf numFmtId="0" fontId="8" fillId="1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7" fillId="4" borderId="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20" fontId="18" fillId="0" borderId="1" xfId="2" applyNumberFormat="1" applyFont="1" applyFill="1" applyBorder="1" applyAlignment="1">
      <alignment horizontal="center"/>
    </xf>
    <xf numFmtId="20" fontId="7" fillId="0" borderId="1" xfId="2" applyNumberFormat="1" applyFont="1" applyFill="1" applyBorder="1" applyAlignment="1">
      <alignment horizontal="center"/>
    </xf>
    <xf numFmtId="164" fontId="7" fillId="0" borderId="1" xfId="0" applyNumberFormat="1" applyFont="1" applyBorder="1"/>
    <xf numFmtId="164" fontId="8" fillId="0" borderId="1" xfId="0" applyNumberFormat="1" applyFont="1" applyBorder="1"/>
    <xf numFmtId="0" fontId="8" fillId="17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20" fontId="7" fillId="6" borderId="1" xfId="2" applyNumberFormat="1" applyFont="1" applyFill="1" applyBorder="1" applyAlignment="1">
      <alignment horizontal="center"/>
    </xf>
    <xf numFmtId="164" fontId="7" fillId="6" borderId="1" xfId="0" applyNumberFormat="1" applyFont="1" applyFill="1" applyBorder="1"/>
    <xf numFmtId="164" fontId="8" fillId="6" borderId="1" xfId="0" applyNumberFormat="1" applyFont="1" applyFill="1" applyBorder="1"/>
    <xf numFmtId="0" fontId="15" fillId="0" borderId="0" xfId="0" applyFont="1"/>
    <xf numFmtId="20" fontId="15" fillId="0" borderId="0" xfId="0" applyNumberFormat="1" applyFont="1" applyAlignment="1">
      <alignment horizontal="center"/>
    </xf>
    <xf numFmtId="164" fontId="15" fillId="0" borderId="2" xfId="0" applyNumberFormat="1" applyFont="1" applyBorder="1"/>
    <xf numFmtId="20" fontId="15" fillId="0" borderId="0" xfId="0" applyNumberFormat="1" applyFont="1"/>
    <xf numFmtId="0" fontId="17" fillId="5" borderId="1" xfId="2" applyFont="1" applyFill="1" applyBorder="1" applyAlignment="1">
      <alignment horizontal="center"/>
    </xf>
    <xf numFmtId="164" fontId="8" fillId="0" borderId="2" xfId="0" applyNumberFormat="1" applyFont="1" applyBorder="1"/>
    <xf numFmtId="164" fontId="8" fillId="6" borderId="2" xfId="0" applyNumberFormat="1" applyFont="1" applyFill="1" applyBorder="1"/>
    <xf numFmtId="0" fontId="8" fillId="6" borderId="0" xfId="0" applyFont="1" applyFill="1"/>
    <xf numFmtId="16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18" borderId="1" xfId="0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164" fontId="4" fillId="19" borderId="1" xfId="0" applyNumberFormat="1" applyFont="1" applyFill="1" applyBorder="1"/>
    <xf numFmtId="164" fontId="4" fillId="19" borderId="2" xfId="0" applyNumberFormat="1" applyFont="1" applyFill="1" applyBorder="1"/>
    <xf numFmtId="164" fontId="4" fillId="12" borderId="1" xfId="0" applyNumberFormat="1" applyFont="1" applyFill="1" applyBorder="1"/>
    <xf numFmtId="164" fontId="4" fillId="12" borderId="2" xfId="0" applyNumberFormat="1" applyFont="1" applyFill="1" applyBorder="1"/>
    <xf numFmtId="0" fontId="0" fillId="20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164" fontId="4" fillId="12" borderId="0" xfId="0" applyNumberFormat="1" applyFont="1" applyFill="1"/>
    <xf numFmtId="0" fontId="14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164" fontId="0" fillId="19" borderId="1" xfId="0" applyNumberFormat="1" applyFill="1" applyBorder="1"/>
    <xf numFmtId="0" fontId="2" fillId="0" borderId="0" xfId="0" applyFont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" fontId="16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164" fontId="15" fillId="0" borderId="0" xfId="0" applyNumberFormat="1" applyFont="1"/>
    <xf numFmtId="0" fontId="8" fillId="12" borderId="0" xfId="0" applyFont="1" applyFill="1" applyAlignment="1">
      <alignment horizontal="center"/>
    </xf>
    <xf numFmtId="164" fontId="8" fillId="0" borderId="0" xfId="0" applyNumberFormat="1" applyFont="1"/>
    <xf numFmtId="0" fontId="7" fillId="0" borderId="1" xfId="0" applyFont="1" applyBorder="1" applyAlignment="1">
      <alignment horizontal="center"/>
    </xf>
    <xf numFmtId="164" fontId="15" fillId="0" borderId="1" xfId="0" applyNumberFormat="1" applyFont="1" applyBorder="1"/>
    <xf numFmtId="20" fontId="18" fillId="0" borderId="0" xfId="0" applyNumberFormat="1" applyFont="1" applyAlignment="1">
      <alignment horizontal="right"/>
    </xf>
    <xf numFmtId="20" fontId="18" fillId="0" borderId="0" xfId="0" applyNumberFormat="1" applyFont="1"/>
    <xf numFmtId="0" fontId="16" fillId="0" borderId="0" xfId="0" applyFont="1"/>
    <xf numFmtId="0" fontId="7" fillId="21" borderId="1" xfId="0" applyFont="1" applyFill="1" applyBorder="1" applyAlignment="1">
      <alignment horizontal="center"/>
    </xf>
    <xf numFmtId="0" fontId="8" fillId="21" borderId="1" xfId="0" applyFont="1" applyFill="1" applyBorder="1" applyAlignment="1">
      <alignment horizontal="center"/>
    </xf>
    <xf numFmtId="20" fontId="8" fillId="12" borderId="0" xfId="0" applyNumberFormat="1" applyFont="1" applyFill="1"/>
    <xf numFmtId="0" fontId="8" fillId="22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4" fillId="0" borderId="0" xfId="0" applyFont="1"/>
    <xf numFmtId="0" fontId="0" fillId="23" borderId="0" xfId="0" applyFill="1" applyAlignment="1">
      <alignment horizontal="center"/>
    </xf>
    <xf numFmtId="20" fontId="2" fillId="0" borderId="1" xfId="0" applyNumberFormat="1" applyFont="1" applyBorder="1"/>
    <xf numFmtId="0" fontId="5" fillId="4" borderId="0" xfId="2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4" fillId="26" borderId="0" xfId="2" applyFont="1" applyFill="1" applyBorder="1" applyAlignment="1">
      <alignment horizontal="center"/>
    </xf>
    <xf numFmtId="0" fontId="7" fillId="0" borderId="0" xfId="0" applyFont="1"/>
    <xf numFmtId="0" fontId="7" fillId="10" borderId="1" xfId="0" applyFont="1" applyFill="1" applyBorder="1" applyAlignment="1">
      <alignment horizontal="center"/>
    </xf>
    <xf numFmtId="20" fontId="7" fillId="12" borderId="1" xfId="2" applyNumberFormat="1" applyFont="1" applyFill="1" applyBorder="1" applyAlignment="1">
      <alignment horizontal="center"/>
    </xf>
    <xf numFmtId="164" fontId="7" fillId="12" borderId="1" xfId="0" applyNumberFormat="1" applyFont="1" applyFill="1" applyBorder="1"/>
    <xf numFmtId="164" fontId="8" fillId="12" borderId="1" xfId="0" applyNumberFormat="1" applyFont="1" applyFill="1" applyBorder="1"/>
    <xf numFmtId="0" fontId="7" fillId="23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164" fontId="8" fillId="12" borderId="2" xfId="0" applyNumberFormat="1" applyFont="1" applyFill="1" applyBorder="1"/>
    <xf numFmtId="0" fontId="4" fillId="2" borderId="1" xfId="3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164" fontId="4" fillId="15" borderId="2" xfId="0" applyNumberFormat="1" applyFont="1" applyFill="1" applyBorder="1" applyAlignment="1">
      <alignment horizontal="center"/>
    </xf>
    <xf numFmtId="164" fontId="2" fillId="10" borderId="2" xfId="0" applyNumberFormat="1" applyFont="1" applyFill="1" applyBorder="1" applyAlignment="1">
      <alignment horizontal="center"/>
    </xf>
  </cellXfs>
  <cellStyles count="4">
    <cellStyle name="Accent3" xfId="2" builtinId="37"/>
    <cellStyle name="Accent5" xfId="3" builtinId="45"/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66FF66"/>
      <color rgb="FFFF99FF"/>
      <color rgb="FFFF33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10" Type="http://schemas.openxmlformats.org/officeDocument/2006/relationships/customXml" Target="../ink/ink9.xml"/><Relationship Id="rId4" Type="http://schemas.openxmlformats.org/officeDocument/2006/relationships/customXml" Target="../ink/ink3.xml"/><Relationship Id="rId9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295842</xdr:colOff>
      <xdr:row>67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/>
          </xdr14:nvContentPartPr>
          <xdr14:nvPr macro=""/>
          <xdr14:xfrm>
            <a:off x="10563225" y="13782675"/>
            <a:ext cx="635" cy="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37826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28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Encr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14:cNvPr>
            <xdr14:cNvContentPartPr/>
          </xdr14:nvContentPartPr>
          <xdr14:nvPr macro=""/>
          <xdr14:xfrm>
            <a:off x="10563225" y="5724525"/>
            <a:ext cx="635" cy="0"/>
          </xdr14:xfrm>
        </xdr:contentPart>
      </mc:Choice>
      <mc:Fallback xmlns="">
        <xdr:pic>
          <xdr:nvPicPr>
            <xdr:cNvPr id="5" name="Encr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572452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Encr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14:cNvPr>
            <xdr14:cNvContentPartPr/>
          </xdr14:nvContentPartPr>
          <xdr14:nvPr macro=""/>
          <xdr14:xfrm>
            <a:off x="10563225" y="8410575"/>
            <a:ext cx="635" cy="0"/>
          </xdr14:xfrm>
        </xdr:contentPart>
      </mc:Choice>
      <mc:Fallback xmlns="">
        <xdr:pic>
          <xdr:nvPicPr>
            <xdr:cNvPr id="6" name="Encr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84105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41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14:cNvPr>
            <xdr14:cNvContentPartPr/>
          </xdr14:nvContentPartPr>
          <xdr14:nvPr macro=""/>
          <xdr14:xfrm>
            <a:off x="10563225" y="8410575"/>
            <a:ext cx="635" cy="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84105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54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Encr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14:cNvPr>
            <xdr14:cNvContentPartPr/>
          </xdr14:nvContentPartPr>
          <xdr14:nvPr macro=""/>
          <xdr14:xfrm>
            <a:off x="10563225" y="11096625"/>
            <a:ext cx="635" cy="0"/>
          </xdr14:xfrm>
        </xdr:contentPart>
      </mc:Choice>
      <mc:Fallback xmlns="">
        <xdr:pic>
          <xdr:nvPicPr>
            <xdr:cNvPr id="8" name="Encr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109662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81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Encre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14:cNvPr>
            <xdr14:cNvContentPartPr/>
          </xdr14:nvContentPartPr>
          <xdr14:nvPr macro=""/>
          <xdr14:xfrm>
            <a:off x="10563225" y="16678275"/>
            <a:ext cx="635" cy="0"/>
          </xdr14:xfrm>
        </xdr:contentPart>
      </mc:Choice>
      <mc:Fallback xmlns="">
        <xdr:pic>
          <xdr:nvPicPr>
            <xdr:cNvPr id="10" name="Encre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66782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93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Encre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14:cNvPr>
            <xdr14:cNvContentPartPr/>
          </xdr14:nvContentPartPr>
          <xdr14:nvPr macro=""/>
          <xdr14:xfrm>
            <a:off x="10563225" y="19154775"/>
            <a:ext cx="635" cy="0"/>
          </xdr14:xfrm>
        </xdr:contentPart>
      </mc:Choice>
      <mc:Fallback xmlns="">
        <xdr:pic>
          <xdr:nvPicPr>
            <xdr:cNvPr id="12" name="Encre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191547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106</xdr:row>
      <xdr:rowOff>152287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Encre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14:cNvPr>
            <xdr14:cNvContentPartPr/>
          </xdr14:nvContentPartPr>
          <xdr14:nvPr macro=""/>
          <xdr14:xfrm>
            <a:off x="10563225" y="21973540"/>
            <a:ext cx="635" cy="635"/>
          </xdr14:xfrm>
        </xdr:contentPart>
      </mc:Choice>
      <mc:Fallback xmlns="">
        <xdr:pic>
          <xdr:nvPicPr>
            <xdr:cNvPr id="13" name="Encre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21962745"/>
              <a:ext cx="22225" cy="2222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295842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Encre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14:cNvPr>
            <xdr14:cNvContentPartPr/>
          </xdr14:nvContentPartPr>
          <xdr14:nvPr macro=""/>
          <xdr14:xfrm>
            <a:off x="10563225" y="3038475"/>
            <a:ext cx="635" cy="0"/>
          </xdr14:xfrm>
        </xdr:contentPart>
      </mc:Choice>
      <mc:Fallback xmlns="">
        <xdr:pic>
          <xdr:nvPicPr>
            <xdr:cNvPr id="14" name="Encre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2430" y="3038475"/>
              <a:ext cx="22225" cy="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ODDY\EMPLOI%20DU%20TEMPS%20ZOMATEL%20WEEK%20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ISINE SNACK"/>
      <sheetName val="PATISS-PIZZA"/>
      <sheetName val="CUISINE CANTINE"/>
      <sheetName val="CUISINE DETENTE"/>
      <sheetName val="CUISINE RESTO"/>
      <sheetName val="STOCKISTE"/>
      <sheetName val="RESPONSABLE ESPACE COMMUN"/>
      <sheetName val="COMMUNICATION-MAJ"/>
      <sheetName val="RECEPTION"/>
      <sheetName val="GOUVERNANTE"/>
      <sheetName val="PISCINE"/>
      <sheetName val="SERVICE ETAGE"/>
      <sheetName val="LESSIVEUSE"/>
      <sheetName val="MARCHE ET NETTOYAGE CANTINE"/>
      <sheetName val="NETTOYEUR"/>
      <sheetName val="JARDINIER"/>
      <sheetName val="CHAUFFEUR"/>
      <sheetName val="MAINTENANCE"/>
      <sheetName val="SECURITE"/>
      <sheetName val="SALLE RESTO"/>
      <sheetName val="SALLE SNACK"/>
      <sheetName val="SALLE DETENTE"/>
      <sheetName val="PLONGE"/>
      <sheetName val="ADMINIST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G5" t="str">
            <v>LUNDI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09: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0: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2: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14:13: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N141"/>
  <sheetViews>
    <sheetView zoomScale="92" zoomScaleNormal="92" workbookViewId="0">
      <selection activeCell="R21" sqref="R21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4" ht="15.75" customHeight="1">
      <c r="E2" s="171" t="s">
        <v>0</v>
      </c>
      <c r="F2" s="171"/>
      <c r="G2" s="171"/>
      <c r="H2" s="171"/>
      <c r="I2" s="171"/>
    </row>
    <row r="3" spans="1:14" ht="15.75" customHeight="1">
      <c r="E3" s="171"/>
      <c r="F3" s="171"/>
      <c r="G3" s="171"/>
      <c r="H3" s="171"/>
      <c r="I3" s="171"/>
    </row>
    <row r="4" spans="1:14">
      <c r="E4" s="92" t="s">
        <v>1</v>
      </c>
    </row>
    <row r="5" spans="1:14">
      <c r="C5" s="133" t="s">
        <v>2</v>
      </c>
      <c r="G5" s="5" t="str">
        <f>+[1]MAINTENANCE!G5</f>
        <v>LUNDI</v>
      </c>
      <c r="H5" s="6">
        <v>46244</v>
      </c>
    </row>
    <row r="6" spans="1:14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4">
      <c r="B7" s="95" t="s">
        <v>6</v>
      </c>
      <c r="C7" s="96" t="inlineStr">
        <is>
          <t>ENTREE-TEST</t>
        </is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4">
      <c r="A8" s="159" t="s">
        <v>11</v>
      </c>
      <c r="B8" s="160" t="s">
        <v>12</v>
      </c>
      <c r="C8" s="161">
        <v>0.25</v>
      </c>
      <c r="D8" s="161">
        <v>0.5</v>
      </c>
      <c r="E8" s="162">
        <v>0.5</v>
      </c>
      <c r="F8" s="161">
        <v>0.5</v>
      </c>
      <c r="G8" s="161">
        <v>0.58333333333333304</v>
      </c>
      <c r="H8" s="163">
        <v>8.3333333333333301E-2</v>
      </c>
      <c r="I8" s="161"/>
      <c r="J8" s="161"/>
      <c r="K8" s="163">
        <v>0</v>
      </c>
      <c r="L8" s="167">
        <v>0.33333333333333298</v>
      </c>
    </row>
    <row r="9" spans="1:14" s="39" customFormat="1">
      <c r="A9" s="159" t="s">
        <v>13</v>
      </c>
      <c r="B9" s="164" t="s">
        <v>14</v>
      </c>
      <c r="C9" s="99">
        <v>0.41666666666666702</v>
      </c>
      <c r="D9" s="99">
        <v>0.58333333333333304</v>
      </c>
      <c r="E9" s="101">
        <f t="shared" ref="E9:E14" si="0">IF(D9&gt;C9,D9-C9,C9-D9)</f>
        <v>0.16666666666666699</v>
      </c>
      <c r="F9" s="99"/>
      <c r="G9" s="100"/>
      <c r="H9" s="102">
        <f t="shared" ref="H9:H14" si="1">IF(G9&gt;F9,G9-F9,F9-G9)</f>
        <v>0</v>
      </c>
      <c r="I9" s="100">
        <v>0.75</v>
      </c>
      <c r="J9" s="99">
        <v>0.91666666666666696</v>
      </c>
      <c r="K9" s="102">
        <f t="shared" ref="K9:K14" si="2">IF(J9&gt;I9,J9-I9,I9-J9)</f>
        <v>0.16666666666666699</v>
      </c>
      <c r="L9" s="113">
        <f t="shared" ref="L9:L14" si="3">E9+H9+K9</f>
        <v>0.33333333333333298</v>
      </c>
      <c r="M9" s="92"/>
    </row>
    <row r="10" spans="1:14">
      <c r="A10" s="159" t="s">
        <v>15</v>
      </c>
      <c r="B10" s="165" t="s">
        <v>16</v>
      </c>
      <c r="C10" s="100"/>
      <c r="D10" s="100"/>
      <c r="E10" s="101">
        <f t="shared" si="0"/>
        <v>0</v>
      </c>
      <c r="F10" s="99">
        <v>0.58333333333333304</v>
      </c>
      <c r="G10" s="100">
        <v>0.75</v>
      </c>
      <c r="H10" s="102">
        <f t="shared" si="1"/>
        <v>0.16666666666666699</v>
      </c>
      <c r="I10" s="100">
        <v>0.75</v>
      </c>
      <c r="J10" s="99">
        <v>0.91666666666666696</v>
      </c>
      <c r="K10" s="102">
        <f t="shared" si="2"/>
        <v>0.16666666666666699</v>
      </c>
      <c r="L10" s="113">
        <f t="shared" si="3"/>
        <v>0.33333333333333298</v>
      </c>
    </row>
    <row r="11" spans="1:14" s="39" customFormat="1">
      <c r="A11" s="159" t="s">
        <v>17</v>
      </c>
      <c r="B11" s="140" t="s">
        <v>18</v>
      </c>
      <c r="C11" s="161">
        <v>0.25</v>
      </c>
      <c r="D11" s="161">
        <v>0.5</v>
      </c>
      <c r="E11" s="162">
        <v>0.25</v>
      </c>
      <c r="F11" s="161">
        <v>0.5</v>
      </c>
      <c r="G11" s="161">
        <v>0.58333333333333304</v>
      </c>
      <c r="H11" s="163">
        <v>8.3333333333333301E-2</v>
      </c>
      <c r="I11" s="161"/>
      <c r="J11" s="161"/>
      <c r="K11" s="163">
        <v>0</v>
      </c>
      <c r="L11" s="167">
        <v>0.33333333333333298</v>
      </c>
      <c r="M11" s="91"/>
    </row>
    <row r="12" spans="1:14">
      <c r="A12" s="159" t="s">
        <v>19</v>
      </c>
      <c r="B12" s="160" t="s">
        <v>20</v>
      </c>
      <c r="C12" s="99">
        <v>0.25</v>
      </c>
      <c r="D12" s="100">
        <v>0.5</v>
      </c>
      <c r="E12" s="101">
        <f t="shared" si="0"/>
        <v>0.25</v>
      </c>
      <c r="F12" s="100">
        <v>0.5</v>
      </c>
      <c r="G12" s="99">
        <v>0.58333333333333304</v>
      </c>
      <c r="H12" s="102">
        <f t="shared" si="1"/>
        <v>8.3333333333333398E-2</v>
      </c>
      <c r="I12" s="100"/>
      <c r="J12" s="100"/>
      <c r="K12" s="102">
        <f t="shared" si="2"/>
        <v>0</v>
      </c>
      <c r="L12" s="113">
        <f t="shared" si="3"/>
        <v>0.33333333333333298</v>
      </c>
    </row>
    <row r="13" spans="1:14">
      <c r="A13" s="159" t="s">
        <v>21</v>
      </c>
      <c r="B13" s="165" t="s">
        <v>22</v>
      </c>
      <c r="C13" s="100"/>
      <c r="D13" s="100"/>
      <c r="E13" s="101">
        <f t="shared" si="0"/>
        <v>0</v>
      </c>
      <c r="F13" s="99">
        <v>0.58333333333333304</v>
      </c>
      <c r="G13" s="100">
        <v>0.75</v>
      </c>
      <c r="H13" s="102">
        <f t="shared" si="1"/>
        <v>0.16666666666666699</v>
      </c>
      <c r="I13" s="100">
        <v>0.75</v>
      </c>
      <c r="J13" s="99">
        <v>0.91666666666666696</v>
      </c>
      <c r="K13" s="102">
        <f t="shared" si="2"/>
        <v>0.16666666666666699</v>
      </c>
      <c r="L13" s="113">
        <f t="shared" si="3"/>
        <v>0.33333333333333298</v>
      </c>
    </row>
    <row r="14" spans="1:14" s="39" customFormat="1">
      <c r="A14" s="159" t="s">
        <v>23</v>
      </c>
      <c r="B14" s="160" t="s">
        <v>24</v>
      </c>
      <c r="C14" s="34"/>
      <c r="D14" s="34"/>
      <c r="E14" s="35">
        <f t="shared" si="0"/>
        <v>0</v>
      </c>
      <c r="F14" s="34"/>
      <c r="G14" s="34"/>
      <c r="H14" s="36">
        <f t="shared" si="1"/>
        <v>0</v>
      </c>
      <c r="I14" s="34"/>
      <c r="J14" s="34"/>
      <c r="K14" s="36">
        <f t="shared" si="2"/>
        <v>0</v>
      </c>
      <c r="L14" s="37">
        <f t="shared" si="3"/>
        <v>0</v>
      </c>
      <c r="M14" s="38" t="s">
        <v>25</v>
      </c>
    </row>
    <row r="15" spans="1:14">
      <c r="A15" s="159" t="s">
        <v>26</v>
      </c>
      <c r="B15" s="160" t="s">
        <v>27</v>
      </c>
      <c r="C15" s="99">
        <v>0.25</v>
      </c>
      <c r="D15" s="100">
        <v>0.5</v>
      </c>
      <c r="E15" s="101">
        <f t="shared" ref="E15:E16" si="4">IF(D15&gt;C15,D15-C15,C15-D15)</f>
        <v>0.25</v>
      </c>
      <c r="F15" s="100">
        <v>0.5</v>
      </c>
      <c r="G15" s="99">
        <v>0.58333333333333304</v>
      </c>
      <c r="H15" s="102">
        <f t="shared" ref="H15:H16" si="5">IF(G15&gt;F15,G15-F15,F15-G15)</f>
        <v>8.3333333333333398E-2</v>
      </c>
      <c r="I15" s="100"/>
      <c r="J15" s="100"/>
      <c r="K15" s="102">
        <f t="shared" ref="K15:K16" si="6">IF(J15&gt;I15,J15-I15,I15-J15)</f>
        <v>0</v>
      </c>
      <c r="L15" s="113">
        <f t="shared" ref="L15:L16" si="7">E15+H15+K15</f>
        <v>0.33333333333333298</v>
      </c>
    </row>
    <row r="16" spans="1:14">
      <c r="A16" s="159" t="s">
        <v>28</v>
      </c>
      <c r="B16" s="165" t="s">
        <v>29</v>
      </c>
      <c r="C16" s="34"/>
      <c r="D16" s="34"/>
      <c r="E16" s="35">
        <f t="shared" si="4"/>
        <v>0</v>
      </c>
      <c r="F16" s="34"/>
      <c r="G16" s="34"/>
      <c r="H16" s="36">
        <f t="shared" si="5"/>
        <v>0</v>
      </c>
      <c r="I16" s="34"/>
      <c r="J16" s="34"/>
      <c r="K16" s="36">
        <f t="shared" si="6"/>
        <v>0</v>
      </c>
      <c r="L16" s="37">
        <f t="shared" si="7"/>
        <v>0</v>
      </c>
      <c r="M16" s="38" t="s">
        <v>25</v>
      </c>
      <c r="N16" s="39"/>
    </row>
    <row r="17" spans="1:13">
      <c r="A17" s="39" t="s">
        <v>30</v>
      </c>
      <c r="B17" s="160" t="s">
        <v>31</v>
      </c>
      <c r="C17" s="99">
        <v>0.25</v>
      </c>
      <c r="D17" s="100">
        <v>0.5</v>
      </c>
      <c r="E17" s="101">
        <f t="shared" ref="E17" si="8">IF(D17&gt;C17,D17-C17,C17-D17)</f>
        <v>0.25</v>
      </c>
      <c r="F17" s="100">
        <v>0.5</v>
      </c>
      <c r="G17" s="99">
        <v>0.58333333333333304</v>
      </c>
      <c r="H17" s="102">
        <f t="shared" ref="H17" si="9">IF(G17&gt;F17,G17-F17,F17-G17)</f>
        <v>8.3333333333333398E-2</v>
      </c>
      <c r="I17" s="100"/>
      <c r="J17" s="100"/>
      <c r="K17" s="102">
        <f t="shared" ref="K17" si="10">IF(J17&gt;I17,J17-I17,I17-J17)</f>
        <v>0</v>
      </c>
      <c r="L17" s="113">
        <f t="shared" ref="L17" si="11">E17+H17+K17</f>
        <v>0.33333333333333298</v>
      </c>
    </row>
    <row r="18" spans="1:13" s="90" customFormat="1">
      <c r="A18" s="108"/>
      <c r="B18" s="98"/>
      <c r="C18" s="109"/>
      <c r="D18" s="109"/>
      <c r="E18" s="110">
        <f>SUM(E8:E17)</f>
        <v>1.4166666666666701</v>
      </c>
      <c r="F18" s="111"/>
      <c r="G18" s="111"/>
      <c r="H18" s="110">
        <f>SUM(H8:H17)</f>
        <v>0.75</v>
      </c>
      <c r="I18" s="109"/>
      <c r="J18" s="109"/>
      <c r="K18" s="110">
        <f>SUM(K8:K17)</f>
        <v>0.5</v>
      </c>
      <c r="L18" s="110">
        <f>SUM(L8:L17)</f>
        <v>2.6666666666666701</v>
      </c>
      <c r="M18" s="108"/>
    </row>
    <row r="19" spans="1:13" s="90" customFormat="1">
      <c r="A19" s="108"/>
      <c r="B19" s="98"/>
      <c r="C19" s="109"/>
      <c r="D19" s="109"/>
      <c r="E19" s="110"/>
      <c r="F19" s="111"/>
      <c r="G19" s="111"/>
      <c r="H19" s="110"/>
      <c r="I19" s="109"/>
      <c r="J19" s="109"/>
      <c r="K19" s="110"/>
      <c r="L19" s="110"/>
      <c r="M19" s="108"/>
    </row>
    <row r="20" spans="1:13" s="91" customFormat="1">
      <c r="A20" s="92"/>
      <c r="B20" s="93"/>
      <c r="C20" s="93"/>
      <c r="D20" s="93"/>
      <c r="E20" s="92"/>
      <c r="F20" s="92"/>
      <c r="G20" s="92"/>
      <c r="H20" s="92"/>
      <c r="I20" s="93"/>
      <c r="J20" s="93"/>
      <c r="K20" s="92"/>
      <c r="L20" s="92"/>
      <c r="M20" s="92"/>
    </row>
    <row r="21" spans="1:13">
      <c r="C21" s="133" t="s">
        <v>2</v>
      </c>
      <c r="G21" s="5" t="s">
        <v>32</v>
      </c>
      <c r="H21" s="6">
        <f>+H5+1</f>
        <v>46245</v>
      </c>
    </row>
    <row r="22" spans="1:13">
      <c r="C22" s="172" t="s">
        <v>3</v>
      </c>
      <c r="D22" s="172"/>
      <c r="E22" s="172"/>
      <c r="F22" s="173" t="s">
        <v>4</v>
      </c>
      <c r="G22" s="173"/>
      <c r="H22" s="173"/>
      <c r="I22" s="174" t="s">
        <v>5</v>
      </c>
      <c r="J22" s="174"/>
      <c r="K22" s="174"/>
    </row>
    <row r="23" spans="1:13">
      <c r="B23" s="95" t="s">
        <v>6</v>
      </c>
      <c r="C23" s="96" t="s">
        <v>7</v>
      </c>
      <c r="D23" s="96" t="s">
        <v>8</v>
      </c>
      <c r="E23" s="96" t="s">
        <v>9</v>
      </c>
      <c r="F23" s="97" t="s">
        <v>7</v>
      </c>
      <c r="G23" s="97" t="s">
        <v>8</v>
      </c>
      <c r="H23" s="97" t="s">
        <v>9</v>
      </c>
      <c r="I23" s="112" t="s">
        <v>7</v>
      </c>
      <c r="J23" s="112" t="s">
        <v>8</v>
      </c>
      <c r="K23" s="112" t="s">
        <v>9</v>
      </c>
      <c r="L23" s="95" t="s">
        <v>10</v>
      </c>
    </row>
    <row r="24" spans="1:13" s="39" customFormat="1">
      <c r="A24" s="159" t="s">
        <v>11</v>
      </c>
      <c r="B24" s="160" t="s">
        <v>12</v>
      </c>
      <c r="C24" s="99">
        <v>0.25</v>
      </c>
      <c r="D24" s="100">
        <v>0.5</v>
      </c>
      <c r="E24" s="101">
        <f t="shared" ref="E24:E32" si="12">IF(D24&gt;C24,D24-C24,C24-D24)</f>
        <v>0.25</v>
      </c>
      <c r="F24" s="100">
        <v>0.5</v>
      </c>
      <c r="G24" s="99">
        <v>0.58333333333333304</v>
      </c>
      <c r="H24" s="102">
        <f t="shared" ref="H24:H32" si="13">IF(G24&gt;F24,G24-F24,F24-G24)</f>
        <v>8.3333333333333398E-2</v>
      </c>
      <c r="I24" s="100"/>
      <c r="J24" s="100"/>
      <c r="K24" s="102">
        <f t="shared" ref="K24:K32" si="14">IF(J24&gt;I24,J24-I24,I24-J24)</f>
        <v>0</v>
      </c>
      <c r="L24" s="113">
        <f t="shared" ref="L24:L32" si="15">E24+H24+K24</f>
        <v>0.33333333333333298</v>
      </c>
      <c r="M24" s="92"/>
    </row>
    <row r="25" spans="1:13">
      <c r="A25" s="159" t="s">
        <v>13</v>
      </c>
      <c r="B25" s="166" t="s">
        <v>14</v>
      </c>
      <c r="C25" s="34"/>
      <c r="D25" s="34"/>
      <c r="E25" s="35">
        <f t="shared" si="12"/>
        <v>0</v>
      </c>
      <c r="F25" s="34"/>
      <c r="G25" s="34"/>
      <c r="H25" s="36">
        <f t="shared" si="13"/>
        <v>0</v>
      </c>
      <c r="I25" s="34"/>
      <c r="J25" s="34"/>
      <c r="K25" s="36">
        <f t="shared" si="14"/>
        <v>0</v>
      </c>
      <c r="L25" s="37">
        <f t="shared" si="15"/>
        <v>0</v>
      </c>
      <c r="M25" s="38" t="s">
        <v>25</v>
      </c>
    </row>
    <row r="26" spans="1:13" s="39" customFormat="1">
      <c r="A26" s="159" t="s">
        <v>15</v>
      </c>
      <c r="B26" s="165" t="s">
        <v>16</v>
      </c>
      <c r="C26" s="100"/>
      <c r="D26" s="100"/>
      <c r="E26" s="101">
        <f t="shared" ref="E26:E27" si="16">IF(D26&gt;C26,D26-C26,C26-D26)</f>
        <v>0</v>
      </c>
      <c r="F26" s="99">
        <v>0.58333333333333304</v>
      </c>
      <c r="G26" s="100">
        <v>0.75</v>
      </c>
      <c r="H26" s="102">
        <f t="shared" ref="H26:H27" si="17">IF(G26&gt;F26,G26-F26,F26-G26)</f>
        <v>0.16666666666666699</v>
      </c>
      <c r="I26" s="100">
        <v>0.75</v>
      </c>
      <c r="J26" s="99">
        <v>0.91666666666666696</v>
      </c>
      <c r="K26" s="102">
        <f t="shared" ref="K26:K27" si="18">IF(J26&gt;I26,J26-I26,I26-J26)</f>
        <v>0.16666666666666699</v>
      </c>
      <c r="L26" s="113">
        <f t="shared" ref="L26:L27" si="19">E26+H26+K26</f>
        <v>0.33333333333333298</v>
      </c>
      <c r="M26" s="92"/>
    </row>
    <row r="27" spans="1:13">
      <c r="A27" s="159" t="s">
        <v>17</v>
      </c>
      <c r="B27" s="160" t="s">
        <v>18</v>
      </c>
      <c r="C27" s="34"/>
      <c r="D27" s="34"/>
      <c r="E27" s="35">
        <f t="shared" si="16"/>
        <v>0</v>
      </c>
      <c r="F27" s="34"/>
      <c r="G27" s="34"/>
      <c r="H27" s="36">
        <f t="shared" si="17"/>
        <v>0</v>
      </c>
      <c r="I27" s="34"/>
      <c r="J27" s="34"/>
      <c r="K27" s="36">
        <f t="shared" si="18"/>
        <v>0</v>
      </c>
      <c r="L27" s="37">
        <f t="shared" si="19"/>
        <v>0</v>
      </c>
      <c r="M27" s="38" t="s">
        <v>25</v>
      </c>
    </row>
    <row r="28" spans="1:13">
      <c r="A28" s="159" t="s">
        <v>19</v>
      </c>
      <c r="B28" s="165" t="s">
        <v>20</v>
      </c>
      <c r="C28" s="100"/>
      <c r="D28" s="100"/>
      <c r="E28" s="101">
        <f t="shared" ref="E28:E29" si="20">IF(D28&gt;C28,D28-C28,C28-D28)</f>
        <v>0</v>
      </c>
      <c r="F28" s="99">
        <v>0.58333333333333304</v>
      </c>
      <c r="G28" s="100">
        <v>0.75</v>
      </c>
      <c r="H28" s="102">
        <f t="shared" ref="H28:H29" si="21">IF(G28&gt;F28,G28-F28,F28-G28)</f>
        <v>0.16666666666666699</v>
      </c>
      <c r="I28" s="100">
        <v>0.75</v>
      </c>
      <c r="J28" s="99">
        <v>0.91666666666666696</v>
      </c>
      <c r="K28" s="102">
        <f t="shared" ref="K28:K29" si="22">IF(J28&gt;I28,J28-I28,I28-J28)</f>
        <v>0.16666666666666699</v>
      </c>
      <c r="L28" s="113">
        <f t="shared" ref="L28:L29" si="23">E28+H28+K28</f>
        <v>0.33333333333333298</v>
      </c>
    </row>
    <row r="29" spans="1:13" s="39" customFormat="1">
      <c r="A29" s="159" t="s">
        <v>21</v>
      </c>
      <c r="B29" s="140" t="s">
        <v>22</v>
      </c>
      <c r="C29" s="100"/>
      <c r="D29" s="100"/>
      <c r="E29" s="101">
        <f t="shared" si="20"/>
        <v>0</v>
      </c>
      <c r="F29" s="99">
        <v>0.58333333333333304</v>
      </c>
      <c r="G29" s="100">
        <v>0.75</v>
      </c>
      <c r="H29" s="102">
        <f t="shared" si="21"/>
        <v>0.16666666666666699</v>
      </c>
      <c r="I29" s="100">
        <v>0.75</v>
      </c>
      <c r="J29" s="99">
        <v>0.91666666666666696</v>
      </c>
      <c r="K29" s="102">
        <f t="shared" si="22"/>
        <v>0.16666666666666699</v>
      </c>
      <c r="L29" s="113">
        <f t="shared" si="23"/>
        <v>0.33333333333333298</v>
      </c>
      <c r="M29" s="92"/>
    </row>
    <row r="30" spans="1:13" s="39" customFormat="1">
      <c r="A30" s="159" t="s">
        <v>23</v>
      </c>
      <c r="B30" s="160" t="s">
        <v>24</v>
      </c>
      <c r="C30" s="99">
        <v>0.25</v>
      </c>
      <c r="D30" s="100">
        <v>0.5</v>
      </c>
      <c r="E30" s="101">
        <f t="shared" ref="E30" si="24">IF(D30&gt;C30,D30-C30,C30-D30)</f>
        <v>0.25</v>
      </c>
      <c r="F30" s="100">
        <v>0.5</v>
      </c>
      <c r="G30" s="99">
        <v>0.58333333333333304</v>
      </c>
      <c r="H30" s="102">
        <f t="shared" ref="H30" si="25">IF(G30&gt;F30,G30-F30,F30-G30)</f>
        <v>8.3333333333333398E-2</v>
      </c>
      <c r="I30" s="100"/>
      <c r="J30" s="100"/>
      <c r="K30" s="102">
        <f t="shared" ref="K30" si="26">IF(J30&gt;I30,J30-I30,I30-J30)</f>
        <v>0</v>
      </c>
      <c r="L30" s="113">
        <f t="shared" ref="L30" si="27">E30+H30+K30</f>
        <v>0.33333333333333298</v>
      </c>
      <c r="M30" s="92"/>
    </row>
    <row r="31" spans="1:13" ht="16.149999999999999" customHeight="1">
      <c r="A31" s="159" t="s">
        <v>26</v>
      </c>
      <c r="B31" s="160" t="s">
        <v>27</v>
      </c>
      <c r="C31" s="99">
        <v>0.25</v>
      </c>
      <c r="D31" s="100">
        <v>0.5</v>
      </c>
      <c r="E31" s="101">
        <f t="shared" si="12"/>
        <v>0.25</v>
      </c>
      <c r="F31" s="100">
        <v>0.5</v>
      </c>
      <c r="G31" s="99">
        <v>0.58333333333333304</v>
      </c>
      <c r="H31" s="102">
        <f t="shared" si="13"/>
        <v>8.3333333333333398E-2</v>
      </c>
      <c r="I31" s="100"/>
      <c r="J31" s="100"/>
      <c r="K31" s="102">
        <f t="shared" si="14"/>
        <v>0</v>
      </c>
      <c r="L31" s="113">
        <f t="shared" si="15"/>
        <v>0.33333333333333298</v>
      </c>
    </row>
    <row r="32" spans="1:13">
      <c r="A32" s="159" t="s">
        <v>28</v>
      </c>
      <c r="B32" s="165" t="s">
        <v>29</v>
      </c>
      <c r="C32" s="34"/>
      <c r="D32" s="34"/>
      <c r="E32" s="35">
        <f t="shared" si="12"/>
        <v>0</v>
      </c>
      <c r="F32" s="34"/>
      <c r="G32" s="34"/>
      <c r="H32" s="36">
        <f t="shared" si="13"/>
        <v>0</v>
      </c>
      <c r="I32" s="34"/>
      <c r="J32" s="34"/>
      <c r="K32" s="36">
        <f t="shared" si="14"/>
        <v>0</v>
      </c>
      <c r="L32" s="37">
        <f t="shared" si="15"/>
        <v>0</v>
      </c>
      <c r="M32" s="38" t="s">
        <v>25</v>
      </c>
    </row>
    <row r="33" spans="1:13">
      <c r="A33" s="159" t="s">
        <v>30</v>
      </c>
      <c r="B33" s="160" t="s">
        <v>31</v>
      </c>
      <c r="C33" s="99">
        <v>0.25</v>
      </c>
      <c r="D33" s="100">
        <v>0.5</v>
      </c>
      <c r="E33" s="101">
        <f t="shared" ref="E33:E34" si="28">IF(D33&gt;C33,D33-C33,C33-D33)</f>
        <v>0.25</v>
      </c>
      <c r="F33" s="100">
        <v>0.5</v>
      </c>
      <c r="G33" s="99">
        <v>0.58333333333333304</v>
      </c>
      <c r="H33" s="102">
        <f t="shared" ref="H33:H34" si="29">IF(G33&gt;F33,G33-F33,F33-G33)</f>
        <v>8.3333333333333398E-2</v>
      </c>
      <c r="I33" s="100"/>
      <c r="J33" s="100"/>
      <c r="K33" s="102">
        <f t="shared" ref="K33:K34" si="30">IF(J33&gt;I33,J33-I33,I33-J33)</f>
        <v>0</v>
      </c>
      <c r="L33" s="113">
        <f t="shared" ref="L33:L34" si="31">E33+H33+K33</f>
        <v>0.33333333333333298</v>
      </c>
    </row>
    <row r="34" spans="1:13" s="39" customFormat="1">
      <c r="A34" s="39" t="s">
        <v>30</v>
      </c>
      <c r="B34" s="165" t="s">
        <v>33</v>
      </c>
      <c r="C34" s="100"/>
      <c r="D34" s="100"/>
      <c r="E34" s="101">
        <f t="shared" si="28"/>
        <v>0</v>
      </c>
      <c r="F34" s="99">
        <v>0.58333333333333304</v>
      </c>
      <c r="G34" s="100">
        <v>0.75</v>
      </c>
      <c r="H34" s="102">
        <f t="shared" si="29"/>
        <v>0.16666666666666699</v>
      </c>
      <c r="I34" s="100">
        <v>0.75</v>
      </c>
      <c r="J34" s="99">
        <v>0.91666666666666696</v>
      </c>
      <c r="K34" s="102">
        <f t="shared" si="30"/>
        <v>0.16666666666666699</v>
      </c>
      <c r="L34" s="113">
        <f t="shared" si="31"/>
        <v>0.33333333333333298</v>
      </c>
      <c r="M34" s="92"/>
    </row>
    <row r="35" spans="1:13" s="90" customFormat="1">
      <c r="A35" s="108"/>
      <c r="B35" s="98"/>
      <c r="C35" s="109"/>
      <c r="D35" s="109"/>
      <c r="E35" s="110">
        <f>SUM(E24:E34)</f>
        <v>1</v>
      </c>
      <c r="F35" s="111"/>
      <c r="G35" s="111"/>
      <c r="H35" s="110">
        <f>SUM(H24:H34)</f>
        <v>1</v>
      </c>
      <c r="I35" s="109"/>
      <c r="J35" s="109"/>
      <c r="K35" s="110">
        <f>SUM(K24:K34)</f>
        <v>0.66666666666666696</v>
      </c>
      <c r="L35" s="110">
        <f>SUM(L24:L34)</f>
        <v>2.6666666666666701</v>
      </c>
      <c r="M35" s="108"/>
    </row>
    <row r="36" spans="1:13" s="90" customFormat="1">
      <c r="A36" s="108"/>
      <c r="B36" s="93"/>
      <c r="C36" s="109"/>
      <c r="D36" s="109"/>
      <c r="E36" s="137"/>
      <c r="F36" s="111"/>
      <c r="G36" s="111"/>
      <c r="H36" s="137"/>
      <c r="I36" s="109"/>
      <c r="J36" s="109"/>
      <c r="K36" s="137"/>
      <c r="L36" s="137"/>
      <c r="M36" s="108"/>
    </row>
    <row r="38" spans="1:13">
      <c r="C38" s="133" t="s">
        <v>2</v>
      </c>
      <c r="G38" s="5" t="s">
        <v>34</v>
      </c>
      <c r="H38" s="6">
        <f>+H21+1</f>
        <v>46246</v>
      </c>
    </row>
    <row r="39" spans="1:13">
      <c r="C39" s="172" t="s">
        <v>3</v>
      </c>
      <c r="D39" s="172"/>
      <c r="E39" s="172"/>
      <c r="F39" s="173" t="s">
        <v>4</v>
      </c>
      <c r="G39" s="173"/>
      <c r="H39" s="173"/>
      <c r="I39" s="174" t="s">
        <v>5</v>
      </c>
      <c r="J39" s="174"/>
      <c r="K39" s="174"/>
    </row>
    <row r="40" spans="1:13">
      <c r="B40" s="95" t="s">
        <v>6</v>
      </c>
      <c r="C40" s="96" t="s">
        <v>7</v>
      </c>
      <c r="D40" s="96" t="s">
        <v>8</v>
      </c>
      <c r="E40" s="96" t="s">
        <v>9</v>
      </c>
      <c r="F40" s="97" t="s">
        <v>7</v>
      </c>
      <c r="G40" s="97" t="s">
        <v>8</v>
      </c>
      <c r="H40" s="97" t="s">
        <v>9</v>
      </c>
      <c r="I40" s="112" t="s">
        <v>7</v>
      </c>
      <c r="J40" s="112" t="s">
        <v>8</v>
      </c>
      <c r="K40" s="112" t="s">
        <v>9</v>
      </c>
      <c r="L40" s="95" t="s">
        <v>10</v>
      </c>
    </row>
    <row r="41" spans="1:13" s="39" customFormat="1">
      <c r="A41" s="159" t="s">
        <v>11</v>
      </c>
      <c r="B41" s="140" t="s">
        <v>12</v>
      </c>
      <c r="C41" s="34"/>
      <c r="D41" s="34"/>
      <c r="E41" s="35">
        <f t="shared" ref="E41:E42" si="32">IF(D41&gt;C41,D41-C41,C41-D41)</f>
        <v>0</v>
      </c>
      <c r="F41" s="34"/>
      <c r="G41" s="34"/>
      <c r="H41" s="36">
        <f t="shared" ref="H41:H42" si="33">IF(G41&gt;F41,G41-F41,F41-G41)</f>
        <v>0</v>
      </c>
      <c r="I41" s="34"/>
      <c r="J41" s="34"/>
      <c r="K41" s="36">
        <f t="shared" ref="K41:K42" si="34">IF(J41&gt;I41,J41-I41,I41-J41)</f>
        <v>0</v>
      </c>
      <c r="L41" s="37">
        <f t="shared" ref="L41:L42" si="35">E41+H41+K41</f>
        <v>0</v>
      </c>
      <c r="M41" s="38" t="s">
        <v>25</v>
      </c>
    </row>
    <row r="42" spans="1:13">
      <c r="A42" s="159" t="s">
        <v>13</v>
      </c>
      <c r="B42" s="160" t="s">
        <v>14</v>
      </c>
      <c r="C42" s="99">
        <v>0.25</v>
      </c>
      <c r="D42" s="100">
        <v>0.5</v>
      </c>
      <c r="E42" s="101">
        <f t="shared" si="32"/>
        <v>0.25</v>
      </c>
      <c r="F42" s="100">
        <v>0.5</v>
      </c>
      <c r="G42" s="99">
        <v>0.58333333333333304</v>
      </c>
      <c r="H42" s="101">
        <f t="shared" si="33"/>
        <v>8.3333333333333398E-2</v>
      </c>
      <c r="I42" s="100"/>
      <c r="J42" s="100"/>
      <c r="K42" s="102">
        <f t="shared" si="34"/>
        <v>0</v>
      </c>
      <c r="L42" s="113">
        <f t="shared" si="35"/>
        <v>0.33333333333333298</v>
      </c>
    </row>
    <row r="43" spans="1:13">
      <c r="A43" s="159" t="s">
        <v>15</v>
      </c>
      <c r="B43" s="165" t="s">
        <v>16</v>
      </c>
      <c r="C43" s="100"/>
      <c r="D43" s="100"/>
      <c r="E43" s="101">
        <f t="shared" ref="E43:E49" si="36">IF(D43&gt;C43,D43-C43,C43-D43)</f>
        <v>0</v>
      </c>
      <c r="F43" s="99">
        <v>0.58333333333333304</v>
      </c>
      <c r="G43" s="100">
        <v>0.75</v>
      </c>
      <c r="H43" s="102">
        <f t="shared" ref="H43:H49" si="37">IF(G43&gt;F43,G43-F43,F43-G43)</f>
        <v>0.16666666666666699</v>
      </c>
      <c r="I43" s="100">
        <v>0.75</v>
      </c>
      <c r="J43" s="99">
        <v>0.91666666666666696</v>
      </c>
      <c r="K43" s="102">
        <f t="shared" ref="K43:K49" si="38">IF(J43&gt;I43,J43-I43,I43-J43)</f>
        <v>0.16666666666666699</v>
      </c>
      <c r="L43" s="113">
        <f t="shared" ref="L43:L49" si="39">E43+H43+K43</f>
        <v>0.33333333333333298</v>
      </c>
    </row>
    <row r="44" spans="1:13">
      <c r="A44" s="159" t="s">
        <v>17</v>
      </c>
      <c r="B44" s="160" t="s">
        <v>18</v>
      </c>
      <c r="C44" s="100"/>
      <c r="D44" s="100"/>
      <c r="E44" s="101">
        <f t="shared" ref="E44" si="40">IF(D44&gt;C44,D44-C44,C44-D44)</f>
        <v>0</v>
      </c>
      <c r="F44" s="99">
        <v>0.58333333333333304</v>
      </c>
      <c r="G44" s="100">
        <v>0.75</v>
      </c>
      <c r="H44" s="102">
        <f t="shared" ref="H44" si="41">IF(G44&gt;F44,G44-F44,F44-G44)</f>
        <v>0.16666666666666699</v>
      </c>
      <c r="I44" s="100">
        <v>0.75</v>
      </c>
      <c r="J44" s="99">
        <v>0.91666666666666696</v>
      </c>
      <c r="K44" s="102">
        <f t="shared" ref="K44" si="42">IF(J44&gt;I44,J44-I44,I44-J44)</f>
        <v>0.16666666666666699</v>
      </c>
      <c r="L44" s="113">
        <f t="shared" ref="L44" si="43">E44+H44+K44</f>
        <v>0.33333333333333298</v>
      </c>
    </row>
    <row r="45" spans="1:13" s="39" customFormat="1">
      <c r="A45" s="159" t="s">
        <v>19</v>
      </c>
      <c r="B45" s="140" t="s">
        <v>20</v>
      </c>
      <c r="C45" s="34"/>
      <c r="D45" s="34"/>
      <c r="E45" s="35">
        <f t="shared" si="36"/>
        <v>0</v>
      </c>
      <c r="F45" s="34"/>
      <c r="G45" s="34"/>
      <c r="H45" s="36">
        <f t="shared" si="37"/>
        <v>0</v>
      </c>
      <c r="I45" s="34"/>
      <c r="J45" s="34"/>
      <c r="K45" s="36">
        <f t="shared" si="38"/>
        <v>0</v>
      </c>
      <c r="L45" s="37">
        <f t="shared" si="39"/>
        <v>0</v>
      </c>
      <c r="M45" s="38" t="s">
        <v>25</v>
      </c>
    </row>
    <row r="46" spans="1:13">
      <c r="A46" s="159" t="s">
        <v>21</v>
      </c>
      <c r="B46" s="165" t="s">
        <v>22</v>
      </c>
      <c r="C46" s="100"/>
      <c r="D46" s="100"/>
      <c r="E46" s="101">
        <f t="shared" ref="E46" si="44">IF(D46&gt;C46,D46-C46,C46-D46)</f>
        <v>0</v>
      </c>
      <c r="F46" s="99">
        <v>0.58333333333333304</v>
      </c>
      <c r="G46" s="100">
        <v>0.75</v>
      </c>
      <c r="H46" s="102">
        <f t="shared" ref="H46" si="45">IF(G46&gt;F46,G46-F46,F46-G46)</f>
        <v>0.16666666666666699</v>
      </c>
      <c r="I46" s="100">
        <v>0.75</v>
      </c>
      <c r="J46" s="99">
        <v>0.91666666666666696</v>
      </c>
      <c r="K46" s="102">
        <f t="shared" ref="K46" si="46">IF(J46&gt;I46,J46-I46,I46-J46)</f>
        <v>0.16666666666666699</v>
      </c>
      <c r="L46" s="113">
        <f t="shared" ref="L46" si="47">E46+H46+K46</f>
        <v>0.33333333333333298</v>
      </c>
    </row>
    <row r="47" spans="1:13" s="39" customFormat="1">
      <c r="A47" s="159" t="s">
        <v>23</v>
      </c>
      <c r="B47" s="164" t="s">
        <v>24</v>
      </c>
      <c r="C47" s="99">
        <v>0.25</v>
      </c>
      <c r="D47" s="100">
        <v>0.5</v>
      </c>
      <c r="E47" s="101">
        <f t="shared" si="36"/>
        <v>0.25</v>
      </c>
      <c r="F47" s="100">
        <v>0.5</v>
      </c>
      <c r="G47" s="99">
        <v>0.58333333333333304</v>
      </c>
      <c r="H47" s="101">
        <f t="shared" si="37"/>
        <v>8.3333333333333398E-2</v>
      </c>
      <c r="I47" s="100"/>
      <c r="J47" s="100"/>
      <c r="K47" s="102">
        <f t="shared" si="38"/>
        <v>0</v>
      </c>
      <c r="L47" s="113">
        <f t="shared" si="39"/>
        <v>0.33333333333333298</v>
      </c>
      <c r="M47" s="92"/>
    </row>
    <row r="48" spans="1:13">
      <c r="A48" s="159" t="s">
        <v>26</v>
      </c>
      <c r="B48" s="160" t="s">
        <v>27</v>
      </c>
      <c r="C48" s="99">
        <v>0.25</v>
      </c>
      <c r="D48" s="100">
        <v>0.5</v>
      </c>
      <c r="E48" s="101">
        <f t="shared" ref="E48" si="48">IF(D48&gt;C48,D48-C48,C48-D48)</f>
        <v>0.25</v>
      </c>
      <c r="F48" s="100">
        <v>0.5</v>
      </c>
      <c r="G48" s="99">
        <v>0.58333333333333304</v>
      </c>
      <c r="H48" s="101">
        <f t="shared" ref="H48" si="49">IF(G48&gt;F48,G48-F48,F48-G48)</f>
        <v>8.3333333333333398E-2</v>
      </c>
      <c r="I48" s="100"/>
      <c r="J48" s="100"/>
      <c r="K48" s="102">
        <f t="shared" ref="K48" si="50">IF(J48&gt;I48,J48-I48,I48-J48)</f>
        <v>0</v>
      </c>
      <c r="L48" s="113">
        <f t="shared" ref="L48" si="51">E48+H48+K48</f>
        <v>0.33333333333333298</v>
      </c>
    </row>
    <row r="49" spans="1:13">
      <c r="A49" s="159" t="s">
        <v>28</v>
      </c>
      <c r="B49" s="165" t="s">
        <v>29</v>
      </c>
      <c r="C49" s="100"/>
      <c r="D49" s="100"/>
      <c r="E49" s="101">
        <f t="shared" si="36"/>
        <v>0</v>
      </c>
      <c r="F49" s="99">
        <v>0.58333333333333304</v>
      </c>
      <c r="G49" s="100">
        <v>0.75</v>
      </c>
      <c r="H49" s="102">
        <f t="shared" si="37"/>
        <v>0.16666666666666699</v>
      </c>
      <c r="I49" s="100">
        <v>0.75</v>
      </c>
      <c r="J49" s="99">
        <v>0.91666666666666696</v>
      </c>
      <c r="K49" s="102">
        <f t="shared" si="38"/>
        <v>0.16666666666666699</v>
      </c>
      <c r="L49" s="113">
        <f t="shared" si="39"/>
        <v>0.33333333333333298</v>
      </c>
    </row>
    <row r="50" spans="1:13">
      <c r="A50" s="159" t="s">
        <v>30</v>
      </c>
      <c r="B50" s="140" t="s">
        <v>31</v>
      </c>
      <c r="C50" s="34"/>
      <c r="D50" s="34"/>
      <c r="E50" s="35">
        <f t="shared" ref="E50:E51" si="52">IF(D50&gt;C50,D50-C50,C50-D50)</f>
        <v>0</v>
      </c>
      <c r="F50" s="34"/>
      <c r="G50" s="34"/>
      <c r="H50" s="36">
        <f t="shared" ref="H50:H51" si="53">IF(G50&gt;F50,G50-F50,F50-G50)</f>
        <v>0</v>
      </c>
      <c r="I50" s="34"/>
      <c r="J50" s="34"/>
      <c r="K50" s="36">
        <f t="shared" ref="K50:K51" si="54">IF(J50&gt;I50,J50-I50,I50-J50)</f>
        <v>0</v>
      </c>
      <c r="L50" s="37">
        <f t="shared" ref="L50:L51" si="55">E50+H50+K50</f>
        <v>0</v>
      </c>
      <c r="M50" s="38" t="s">
        <v>25</v>
      </c>
    </row>
    <row r="51" spans="1:13" s="39" customFormat="1">
      <c r="A51" s="39" t="s">
        <v>30</v>
      </c>
      <c r="B51" s="165" t="s">
        <v>33</v>
      </c>
      <c r="C51" s="99">
        <v>0.41666666666666702</v>
      </c>
      <c r="D51" s="99">
        <v>0.58333333333333304</v>
      </c>
      <c r="E51" s="101">
        <f t="shared" si="52"/>
        <v>0.16666666666666699</v>
      </c>
      <c r="F51" s="99">
        <v>0.58333333333333304</v>
      </c>
      <c r="G51" s="100">
        <v>0.75</v>
      </c>
      <c r="H51" s="102">
        <f t="shared" si="53"/>
        <v>0.16666666666666699</v>
      </c>
      <c r="I51" s="100"/>
      <c r="J51" s="99"/>
      <c r="K51" s="102">
        <f t="shared" si="54"/>
        <v>0</v>
      </c>
      <c r="L51" s="113">
        <f t="shared" si="55"/>
        <v>0.33333333333333298</v>
      </c>
      <c r="M51" s="92"/>
    </row>
    <row r="52" spans="1:13" s="90" customFormat="1">
      <c r="A52" s="108"/>
      <c r="B52" s="98"/>
      <c r="C52" s="109"/>
      <c r="D52" s="109"/>
      <c r="E52" s="110">
        <f>SUM(E41:E51)</f>
        <v>0.91666666666666696</v>
      </c>
      <c r="F52" s="111"/>
      <c r="G52" s="111"/>
      <c r="H52" s="110">
        <f>SUM(H41:H51)</f>
        <v>1.0833333333333299</v>
      </c>
      <c r="I52" s="109"/>
      <c r="J52" s="109"/>
      <c r="K52" s="110">
        <f>SUM(K41:K51)</f>
        <v>0.66666666666666696</v>
      </c>
      <c r="L52" s="110">
        <f>SUM(L41:L51)</f>
        <v>2.6666666666666701</v>
      </c>
      <c r="M52" s="108"/>
    </row>
    <row r="53" spans="1:13" s="90" customFormat="1">
      <c r="A53" s="108"/>
      <c r="B53" s="93"/>
      <c r="C53" s="109"/>
      <c r="D53" s="109"/>
      <c r="E53" s="137"/>
      <c r="F53" s="111"/>
      <c r="G53" s="111"/>
      <c r="H53" s="137"/>
      <c r="I53" s="109"/>
      <c r="J53" s="109"/>
      <c r="K53" s="137"/>
      <c r="L53" s="137"/>
      <c r="M53" s="108"/>
    </row>
    <row r="55" spans="1:13">
      <c r="C55" s="133" t="s">
        <v>2</v>
      </c>
      <c r="G55" s="5" t="s">
        <v>35</v>
      </c>
      <c r="H55" s="6">
        <f>+H38+1</f>
        <v>46247</v>
      </c>
    </row>
    <row r="56" spans="1:13">
      <c r="C56" s="172" t="s">
        <v>3</v>
      </c>
      <c r="D56" s="172"/>
      <c r="E56" s="172"/>
      <c r="F56" s="173" t="s">
        <v>4</v>
      </c>
      <c r="G56" s="173"/>
      <c r="H56" s="173"/>
      <c r="I56" s="174" t="s">
        <v>5</v>
      </c>
      <c r="J56" s="174"/>
      <c r="K56" s="174"/>
    </row>
    <row r="57" spans="1:13">
      <c r="B57" s="95" t="s">
        <v>6</v>
      </c>
      <c r="C57" s="96" t="s">
        <v>7</v>
      </c>
      <c r="D57" s="96" t="s">
        <v>8</v>
      </c>
      <c r="E57" s="96" t="s">
        <v>9</v>
      </c>
      <c r="F57" s="97" t="s">
        <v>7</v>
      </c>
      <c r="G57" s="97" t="s">
        <v>8</v>
      </c>
      <c r="H57" s="97" t="s">
        <v>9</v>
      </c>
      <c r="I57" s="112" t="s">
        <v>7</v>
      </c>
      <c r="J57" s="112" t="s">
        <v>8</v>
      </c>
      <c r="K57" s="112" t="s">
        <v>9</v>
      </c>
      <c r="L57" s="95" t="s">
        <v>10</v>
      </c>
    </row>
    <row r="58" spans="1:13" s="39" customFormat="1">
      <c r="A58" s="159" t="s">
        <v>11</v>
      </c>
      <c r="B58" s="160" t="s">
        <v>12</v>
      </c>
      <c r="C58" s="99">
        <v>0.25</v>
      </c>
      <c r="D58" s="100">
        <v>0.5</v>
      </c>
      <c r="E58" s="101">
        <f t="shared" ref="E58:E60" si="56">IF(D58&gt;C58,D58-C58,C58-D58)</f>
        <v>0.25</v>
      </c>
      <c r="F58" s="100">
        <v>0.5</v>
      </c>
      <c r="G58" s="99">
        <v>0.58333333333333304</v>
      </c>
      <c r="H58" s="102">
        <f t="shared" ref="H58:H60" si="57">IF(G58&gt;F58,G58-F58,F58-G58)</f>
        <v>8.3333333333333398E-2</v>
      </c>
      <c r="I58" s="100"/>
      <c r="J58" s="100"/>
      <c r="K58" s="102">
        <f t="shared" ref="K58:K60" si="58">IF(J58&gt;I58,J58-I58,I58-J58)</f>
        <v>0</v>
      </c>
      <c r="L58" s="113">
        <f t="shared" ref="L58:L60" si="59">E58+H58+K58</f>
        <v>0.33333333333333298</v>
      </c>
      <c r="M58" s="92"/>
    </row>
    <row r="59" spans="1:13">
      <c r="A59" s="159" t="s">
        <v>13</v>
      </c>
      <c r="B59" s="140" t="s">
        <v>14</v>
      </c>
      <c r="C59" s="100"/>
      <c r="D59" s="100"/>
      <c r="E59" s="101">
        <f t="shared" si="56"/>
        <v>0</v>
      </c>
      <c r="F59" s="99">
        <v>0.58333333333333304</v>
      </c>
      <c r="G59" s="100">
        <v>0.75</v>
      </c>
      <c r="H59" s="102">
        <f t="shared" si="57"/>
        <v>0.16666666666666699</v>
      </c>
      <c r="I59" s="100">
        <v>0.75</v>
      </c>
      <c r="J59" s="99">
        <v>0.91666666666666696</v>
      </c>
      <c r="K59" s="102">
        <f t="shared" si="58"/>
        <v>0.16666666666666699</v>
      </c>
      <c r="L59" s="113">
        <f t="shared" si="59"/>
        <v>0.33333333333333298</v>
      </c>
    </row>
    <row r="60" spans="1:13" s="132" customFormat="1">
      <c r="A60" s="159" t="s">
        <v>15</v>
      </c>
      <c r="B60" s="165" t="s">
        <v>16</v>
      </c>
      <c r="C60" s="34"/>
      <c r="D60" s="34"/>
      <c r="E60" s="35">
        <f t="shared" si="56"/>
        <v>0</v>
      </c>
      <c r="F60" s="34"/>
      <c r="G60" s="34"/>
      <c r="H60" s="36">
        <f t="shared" si="57"/>
        <v>0</v>
      </c>
      <c r="I60" s="34"/>
      <c r="J60" s="34"/>
      <c r="K60" s="36">
        <f t="shared" si="58"/>
        <v>0</v>
      </c>
      <c r="L60" s="37">
        <f t="shared" si="59"/>
        <v>0</v>
      </c>
      <c r="M60" s="38" t="s">
        <v>25</v>
      </c>
    </row>
    <row r="61" spans="1:13">
      <c r="A61" s="159" t="s">
        <v>17</v>
      </c>
      <c r="B61" s="160" t="s">
        <v>18</v>
      </c>
      <c r="C61" s="100"/>
      <c r="D61" s="100"/>
      <c r="E61" s="101">
        <f t="shared" ref="E61" si="60">IF(D61&gt;C61,D61-C61,C61-D61)</f>
        <v>0</v>
      </c>
      <c r="F61" s="99">
        <v>0.58333333333333304</v>
      </c>
      <c r="G61" s="100">
        <v>0.75</v>
      </c>
      <c r="H61" s="102">
        <f t="shared" ref="H61" si="61">IF(G61&gt;F61,G61-F61,F61-G61)</f>
        <v>0.16666666666666699</v>
      </c>
      <c r="I61" s="100">
        <v>0.75</v>
      </c>
      <c r="J61" s="99">
        <v>0.91666666666666696</v>
      </c>
      <c r="K61" s="102">
        <f t="shared" ref="K61" si="62">IF(J61&gt;I61,J61-I61,I61-J61)</f>
        <v>0.16666666666666699</v>
      </c>
      <c r="L61" s="113">
        <f t="shared" ref="L61" si="63">E61+H61+K61</f>
        <v>0.33333333333333298</v>
      </c>
    </row>
    <row r="62" spans="1:13">
      <c r="A62" s="159" t="s">
        <v>19</v>
      </c>
      <c r="B62" s="164" t="s">
        <v>20</v>
      </c>
      <c r="C62" s="100"/>
      <c r="D62" s="100"/>
      <c r="E62" s="101">
        <f t="shared" ref="E62:E64" si="64">IF(D62&gt;C62,D62-C62,C62-D62)</f>
        <v>0</v>
      </c>
      <c r="F62" s="99">
        <v>0.58333333333333304</v>
      </c>
      <c r="G62" s="100">
        <v>0.75</v>
      </c>
      <c r="H62" s="102">
        <f t="shared" ref="H62:H64" si="65">IF(G62&gt;F62,G62-F62,F62-G62)</f>
        <v>0.16666666666666699</v>
      </c>
      <c r="I62" s="100">
        <v>0.75</v>
      </c>
      <c r="J62" s="99">
        <v>0.91666666666666696</v>
      </c>
      <c r="K62" s="102">
        <f t="shared" ref="K62:K64" si="66">IF(J62&gt;I62,J62-I62,I62-J62)</f>
        <v>0.16666666666666699</v>
      </c>
      <c r="L62" s="113">
        <f t="shared" ref="L62:L64" si="67">E62+H62+K62</f>
        <v>0.33333333333333298</v>
      </c>
    </row>
    <row r="63" spans="1:13">
      <c r="A63" s="159" t="s">
        <v>21</v>
      </c>
      <c r="B63" s="165" t="s">
        <v>22</v>
      </c>
      <c r="C63" s="100"/>
      <c r="D63" s="100"/>
      <c r="E63" s="101">
        <f t="shared" si="64"/>
        <v>0</v>
      </c>
      <c r="F63" s="99">
        <v>0.58333333333333304</v>
      </c>
      <c r="G63" s="100">
        <v>0.75</v>
      </c>
      <c r="H63" s="102">
        <f t="shared" si="65"/>
        <v>0.16666666666666699</v>
      </c>
      <c r="I63" s="100">
        <v>0.75</v>
      </c>
      <c r="J63" s="99">
        <v>0.91666666666666696</v>
      </c>
      <c r="K63" s="102">
        <f t="shared" ref="K63" si="68">IF(J63&gt;I63,J63-I63,I63-J63)</f>
        <v>0.16666666666666699</v>
      </c>
      <c r="L63" s="113">
        <f t="shared" ref="L63" si="69">E63+H63+K63</f>
        <v>0.33333333333333298</v>
      </c>
    </row>
    <row r="64" spans="1:13" s="39" customFormat="1">
      <c r="A64" s="159" t="s">
        <v>23</v>
      </c>
      <c r="B64" s="165" t="s">
        <v>24</v>
      </c>
      <c r="C64" s="99">
        <v>0.25</v>
      </c>
      <c r="D64" s="100">
        <v>0.5</v>
      </c>
      <c r="E64" s="101">
        <f t="shared" si="64"/>
        <v>0.25</v>
      </c>
      <c r="F64" s="100">
        <v>0.5</v>
      </c>
      <c r="G64" s="99">
        <v>0.58333333333333304</v>
      </c>
      <c r="H64" s="102">
        <f t="shared" si="65"/>
        <v>8.3333333333333398E-2</v>
      </c>
      <c r="I64" s="100"/>
      <c r="J64" s="100"/>
      <c r="K64" s="102">
        <f t="shared" si="66"/>
        <v>0</v>
      </c>
      <c r="L64" s="113">
        <f t="shared" si="67"/>
        <v>0.33333333333333298</v>
      </c>
      <c r="M64" s="92"/>
    </row>
    <row r="65" spans="1:14">
      <c r="A65" s="159" t="s">
        <v>26</v>
      </c>
      <c r="B65" s="160" t="s">
        <v>27</v>
      </c>
      <c r="C65" s="99">
        <v>0.25</v>
      </c>
      <c r="D65" s="100">
        <v>0.5</v>
      </c>
      <c r="E65" s="101">
        <f t="shared" ref="E65:E66" si="70">IF(D65&gt;C65,D65-C65,C65-D65)</f>
        <v>0.25</v>
      </c>
      <c r="F65" s="100">
        <v>0.5</v>
      </c>
      <c r="G65" s="99">
        <v>0.58333333333333304</v>
      </c>
      <c r="H65" s="102">
        <f t="shared" ref="H65:H66" si="71">IF(G65&gt;F65,G65-F65,F65-G65)</f>
        <v>8.3333333333333398E-2</v>
      </c>
      <c r="I65" s="100"/>
      <c r="J65" s="100"/>
      <c r="K65" s="102">
        <f t="shared" ref="K65:K66" si="72">IF(J65&gt;I65,J65-I65,I65-J65)</f>
        <v>0</v>
      </c>
      <c r="L65" s="113">
        <f t="shared" ref="L65:L66" si="73">E65+H65+K65</f>
        <v>0.33333333333333298</v>
      </c>
    </row>
    <row r="66" spans="1:14" s="39" customFormat="1">
      <c r="A66" s="159" t="s">
        <v>28</v>
      </c>
      <c r="B66" s="140" t="s">
        <v>29</v>
      </c>
      <c r="C66" s="34"/>
      <c r="D66" s="34"/>
      <c r="E66" s="35">
        <f t="shared" si="70"/>
        <v>0</v>
      </c>
      <c r="F66" s="34"/>
      <c r="G66" s="34"/>
      <c r="H66" s="36">
        <f t="shared" si="71"/>
        <v>0</v>
      </c>
      <c r="I66" s="34"/>
      <c r="J66" s="34"/>
      <c r="K66" s="36">
        <f t="shared" si="72"/>
        <v>0</v>
      </c>
      <c r="L66" s="37">
        <f t="shared" si="73"/>
        <v>0</v>
      </c>
      <c r="M66" s="38" t="s">
        <v>25</v>
      </c>
    </row>
    <row r="67" spans="1:14">
      <c r="A67" s="159" t="s">
        <v>30</v>
      </c>
      <c r="B67" s="160" t="s">
        <v>31</v>
      </c>
      <c r="C67" s="99">
        <v>0.25</v>
      </c>
      <c r="D67" s="100">
        <v>0.5</v>
      </c>
      <c r="E67" s="101">
        <f t="shared" ref="E67" si="74">IF(D67&gt;C67,D67-C67,C67-D67)</f>
        <v>0.25</v>
      </c>
      <c r="F67" s="100">
        <v>0.5</v>
      </c>
      <c r="G67" s="99">
        <v>0.58333333333333304</v>
      </c>
      <c r="H67" s="102">
        <f t="shared" ref="H67" si="75">IF(G67&gt;F67,G67-F67,F67-G67)</f>
        <v>8.3333333333333398E-2</v>
      </c>
      <c r="I67" s="100"/>
      <c r="J67" s="100"/>
      <c r="K67" s="102">
        <f t="shared" ref="K67" si="76">IF(J67&gt;I67,J67-I67,I67-J67)</f>
        <v>0</v>
      </c>
      <c r="L67" s="113">
        <f t="shared" ref="L67" si="77">E67+H67+K67</f>
        <v>0.33333333333333298</v>
      </c>
    </row>
    <row r="68" spans="1:14" s="90" customFormat="1">
      <c r="A68" s="108"/>
      <c r="B68" s="98"/>
      <c r="C68" s="109"/>
      <c r="D68" s="109"/>
      <c r="E68" s="110">
        <f>SUM(E58:E67)</f>
        <v>1</v>
      </c>
      <c r="F68" s="111"/>
      <c r="G68" s="111"/>
      <c r="H68" s="110">
        <f>SUM(H58:H67)</f>
        <v>1</v>
      </c>
      <c r="I68" s="109"/>
      <c r="J68" s="109"/>
      <c r="K68" s="110">
        <f>SUM(K58:K67)</f>
        <v>0.66666666666666696</v>
      </c>
      <c r="L68" s="110">
        <f>SUM(L58:L67)</f>
        <v>2.6666666666666701</v>
      </c>
      <c r="M68" s="108"/>
    </row>
    <row r="71" spans="1:14">
      <c r="C71" s="133" t="s">
        <v>2</v>
      </c>
      <c r="G71" s="5" t="s">
        <v>36</v>
      </c>
      <c r="H71" s="6">
        <f>+H55+1</f>
        <v>46248</v>
      </c>
    </row>
    <row r="72" spans="1:14">
      <c r="C72" s="172" t="s">
        <v>3</v>
      </c>
      <c r="D72" s="172"/>
      <c r="E72" s="172"/>
      <c r="F72" s="173" t="s">
        <v>4</v>
      </c>
      <c r="G72" s="173"/>
      <c r="H72" s="173"/>
      <c r="I72" s="174" t="s">
        <v>5</v>
      </c>
      <c r="J72" s="174"/>
      <c r="K72" s="174"/>
    </row>
    <row r="73" spans="1:14">
      <c r="B73" s="95" t="s">
        <v>6</v>
      </c>
      <c r="C73" s="96" t="s">
        <v>7</v>
      </c>
      <c r="D73" s="96" t="s">
        <v>8</v>
      </c>
      <c r="E73" s="96" t="s">
        <v>9</v>
      </c>
      <c r="F73" s="97" t="s">
        <v>7</v>
      </c>
      <c r="G73" s="97" t="s">
        <v>8</v>
      </c>
      <c r="H73" s="97" t="s">
        <v>9</v>
      </c>
      <c r="I73" s="112" t="s">
        <v>7</v>
      </c>
      <c r="J73" s="112" t="s">
        <v>8</v>
      </c>
      <c r="K73" s="112" t="s">
        <v>9</v>
      </c>
      <c r="L73" s="95" t="s">
        <v>10</v>
      </c>
    </row>
    <row r="74" spans="1:14" s="39" customFormat="1">
      <c r="A74" s="159" t="s">
        <v>11</v>
      </c>
      <c r="B74" s="160" t="s">
        <v>12</v>
      </c>
      <c r="C74" s="99">
        <v>0.25</v>
      </c>
      <c r="D74" s="100">
        <v>0.5</v>
      </c>
      <c r="E74" s="101">
        <f t="shared" ref="E74" si="78">IF(D74&gt;C74,D74-C74,C74-D74)</f>
        <v>0.25</v>
      </c>
      <c r="F74" s="100">
        <v>0.5</v>
      </c>
      <c r="G74" s="99">
        <v>0.58333333333333304</v>
      </c>
      <c r="H74" s="102">
        <f t="shared" ref="H74" si="79">IF(G74&gt;F74,G74-F74,F74-G74)</f>
        <v>8.3333333333333398E-2</v>
      </c>
      <c r="I74" s="100"/>
      <c r="J74" s="100"/>
      <c r="K74" s="102">
        <f t="shared" ref="K74" si="80">IF(J74&gt;I74,J74-I74,I74-J74)</f>
        <v>0</v>
      </c>
      <c r="L74" s="113">
        <f t="shared" ref="L74" si="81">E74+H74+K74</f>
        <v>0.33333333333333298</v>
      </c>
      <c r="M74" s="92"/>
    </row>
    <row r="75" spans="1:14">
      <c r="A75" s="159" t="s">
        <v>13</v>
      </c>
      <c r="B75" s="165" t="s">
        <v>14</v>
      </c>
      <c r="C75" s="100"/>
      <c r="D75" s="100"/>
      <c r="E75" s="101">
        <f t="shared" ref="E75:E82" si="82">IF(D75&gt;C75,D75-C75,C75-D75)</f>
        <v>0</v>
      </c>
      <c r="F75" s="99">
        <v>0.58333333333333304</v>
      </c>
      <c r="G75" s="100">
        <v>0.75</v>
      </c>
      <c r="H75" s="102">
        <f t="shared" ref="H75:H82" si="83">IF(G75&gt;F75,G75-F75,F75-G75)</f>
        <v>0.16666666666666699</v>
      </c>
      <c r="I75" s="100">
        <v>0.75</v>
      </c>
      <c r="J75" s="99">
        <v>0.91666666666666696</v>
      </c>
      <c r="K75" s="102">
        <f t="shared" ref="K75:K82" si="84">IF(J75&gt;I75,J75-I75,I75-J75)</f>
        <v>0.16666666666666699</v>
      </c>
      <c r="L75" s="113">
        <f t="shared" ref="L75:L82" si="85">E75+H75+K75</f>
        <v>0.33333333333333298</v>
      </c>
    </row>
    <row r="76" spans="1:14" s="132" customFormat="1">
      <c r="A76" s="159" t="s">
        <v>15</v>
      </c>
      <c r="B76" s="140" t="s">
        <v>16</v>
      </c>
      <c r="C76" s="34"/>
      <c r="D76" s="34"/>
      <c r="E76" s="35">
        <f t="shared" si="82"/>
        <v>0</v>
      </c>
      <c r="F76" s="34"/>
      <c r="G76" s="34"/>
      <c r="H76" s="36">
        <f t="shared" si="83"/>
        <v>0</v>
      </c>
      <c r="I76" s="34"/>
      <c r="J76" s="34"/>
      <c r="K76" s="36">
        <f t="shared" si="84"/>
        <v>0</v>
      </c>
      <c r="L76" s="37">
        <f t="shared" si="85"/>
        <v>0</v>
      </c>
      <c r="M76" s="38" t="s">
        <v>25</v>
      </c>
      <c r="N76" s="39"/>
    </row>
    <row r="77" spans="1:14">
      <c r="A77" s="159" t="s">
        <v>17</v>
      </c>
      <c r="B77" s="160" t="s">
        <v>18</v>
      </c>
      <c r="C77" s="100"/>
      <c r="D77" s="100"/>
      <c r="E77" s="101">
        <f t="shared" ref="E77" si="86">IF(D77&gt;C77,D77-C77,C77-D77)</f>
        <v>0</v>
      </c>
      <c r="F77" s="99">
        <v>0.58333333333333304</v>
      </c>
      <c r="G77" s="100">
        <v>0.75</v>
      </c>
      <c r="H77" s="102">
        <f t="shared" ref="H77" si="87">IF(G77&gt;F77,G77-F77,F77-G77)</f>
        <v>0.16666666666666699</v>
      </c>
      <c r="I77" s="100">
        <v>0.75</v>
      </c>
      <c r="J77" s="99">
        <v>0.91666666666666696</v>
      </c>
      <c r="K77" s="102">
        <f t="shared" ref="K77" si="88">IF(J77&gt;I77,J77-I77,I77-J77)</f>
        <v>0.16666666666666699</v>
      </c>
      <c r="L77" s="113">
        <f t="shared" ref="L77" si="89">E77+H77+K77</f>
        <v>0.33333333333333298</v>
      </c>
    </row>
    <row r="78" spans="1:14">
      <c r="A78" s="159" t="s">
        <v>19</v>
      </c>
      <c r="B78" s="166" t="s">
        <v>20</v>
      </c>
      <c r="C78" s="100"/>
      <c r="D78" s="100"/>
      <c r="E78" s="101">
        <f t="shared" ref="E78:E79" si="90">IF(D78&gt;C78,D78-C78,C78-D78)</f>
        <v>0</v>
      </c>
      <c r="F78" s="99">
        <v>0.58333333333333304</v>
      </c>
      <c r="G78" s="100">
        <v>0.75</v>
      </c>
      <c r="H78" s="102">
        <f t="shared" ref="H78:H79" si="91">IF(G78&gt;F78,G78-F78,F78-G78)</f>
        <v>0.16666666666666699</v>
      </c>
      <c r="I78" s="100">
        <v>0.75</v>
      </c>
      <c r="J78" s="99">
        <v>0.91666666666666696</v>
      </c>
      <c r="K78" s="102">
        <f t="shared" ref="K78:K79" si="92">IF(J78&gt;I78,J78-I78,I78-J78)</f>
        <v>0.16666666666666699</v>
      </c>
      <c r="L78" s="113">
        <f t="shared" ref="L78:L79" si="93">E78+H78+K78</f>
        <v>0.33333333333333298</v>
      </c>
    </row>
    <row r="79" spans="1:14">
      <c r="A79" s="159" t="s">
        <v>21</v>
      </c>
      <c r="B79" s="165" t="s">
        <v>22</v>
      </c>
      <c r="C79" s="34"/>
      <c r="D79" s="34"/>
      <c r="E79" s="35">
        <f t="shared" si="90"/>
        <v>0</v>
      </c>
      <c r="F79" s="34"/>
      <c r="G79" s="34"/>
      <c r="H79" s="36">
        <f t="shared" si="91"/>
        <v>0</v>
      </c>
      <c r="I79" s="34"/>
      <c r="J79" s="34"/>
      <c r="K79" s="36">
        <f t="shared" si="92"/>
        <v>0</v>
      </c>
      <c r="L79" s="37">
        <f t="shared" si="93"/>
        <v>0</v>
      </c>
      <c r="M79" s="38" t="s">
        <v>25</v>
      </c>
    </row>
    <row r="80" spans="1:14" s="39" customFormat="1">
      <c r="A80" s="159" t="s">
        <v>23</v>
      </c>
      <c r="B80" s="165" t="s">
        <v>24</v>
      </c>
      <c r="C80" s="99">
        <v>0.25</v>
      </c>
      <c r="D80" s="100">
        <v>0.5</v>
      </c>
      <c r="E80" s="101">
        <f t="shared" ref="E80" si="94">IF(D80&gt;C80,D80-C80,C80-D80)</f>
        <v>0.25</v>
      </c>
      <c r="F80" s="100">
        <v>0.5</v>
      </c>
      <c r="G80" s="99">
        <v>0.58333333333333304</v>
      </c>
      <c r="H80" s="102">
        <f t="shared" ref="H80" si="95">IF(G80&gt;F80,G80-F80,F80-G80)</f>
        <v>8.3333333333333398E-2</v>
      </c>
      <c r="I80" s="100"/>
      <c r="J80" s="100"/>
      <c r="K80" s="102">
        <f t="shared" ref="K80" si="96">IF(J80&gt;I80,J80-I80,I80-J80)</f>
        <v>0</v>
      </c>
      <c r="L80" s="113">
        <f t="shared" ref="L80" si="97">E80+H80+K80</f>
        <v>0.33333333333333298</v>
      </c>
      <c r="M80" s="92"/>
    </row>
    <row r="81" spans="1:13">
      <c r="A81" s="159" t="s">
        <v>26</v>
      </c>
      <c r="B81" s="160" t="s">
        <v>27</v>
      </c>
      <c r="C81" s="99">
        <v>0.25</v>
      </c>
      <c r="D81" s="100">
        <v>0.5</v>
      </c>
      <c r="E81" s="101">
        <f t="shared" si="82"/>
        <v>0.25</v>
      </c>
      <c r="F81" s="100">
        <v>0.5</v>
      </c>
      <c r="G81" s="99">
        <v>0.58333333333333304</v>
      </c>
      <c r="H81" s="102">
        <f t="shared" si="83"/>
        <v>8.3333333333333398E-2</v>
      </c>
      <c r="I81" s="100"/>
      <c r="J81" s="100"/>
      <c r="K81" s="102">
        <f t="shared" si="84"/>
        <v>0</v>
      </c>
      <c r="L81" s="113">
        <f t="shared" si="85"/>
        <v>0.33333333333333298</v>
      </c>
    </row>
    <row r="82" spans="1:13">
      <c r="A82" s="159" t="s">
        <v>28</v>
      </c>
      <c r="B82" s="165" t="s">
        <v>29</v>
      </c>
      <c r="C82" s="34"/>
      <c r="D82" s="34"/>
      <c r="E82" s="35">
        <f t="shared" si="82"/>
        <v>0</v>
      </c>
      <c r="F82" s="34"/>
      <c r="G82" s="34"/>
      <c r="H82" s="36">
        <f t="shared" si="83"/>
        <v>0</v>
      </c>
      <c r="I82" s="34"/>
      <c r="J82" s="34"/>
      <c r="K82" s="36">
        <f t="shared" si="84"/>
        <v>0</v>
      </c>
      <c r="L82" s="37">
        <f t="shared" si="85"/>
        <v>0</v>
      </c>
      <c r="M82" s="38" t="s">
        <v>25</v>
      </c>
    </row>
    <row r="83" spans="1:13">
      <c r="A83" s="159" t="s">
        <v>30</v>
      </c>
      <c r="B83" s="160" t="s">
        <v>31</v>
      </c>
      <c r="C83" s="99">
        <v>0.25</v>
      </c>
      <c r="D83" s="100">
        <v>0.5</v>
      </c>
      <c r="E83" s="101">
        <f t="shared" ref="E83" si="98">IF(D83&gt;C83,D83-C83,C83-D83)</f>
        <v>0.25</v>
      </c>
      <c r="F83" s="100">
        <v>0.5</v>
      </c>
      <c r="G83" s="99">
        <v>0.58333333333333304</v>
      </c>
      <c r="H83" s="102">
        <f t="shared" ref="H83" si="99">IF(G83&gt;F83,G83-F83,F83-G83)</f>
        <v>8.3333333333333398E-2</v>
      </c>
      <c r="I83" s="100"/>
      <c r="J83" s="100"/>
      <c r="K83" s="102">
        <f t="shared" ref="K83" si="100">IF(J83&gt;I83,J83-I83,I83-J83)</f>
        <v>0</v>
      </c>
      <c r="L83" s="113">
        <f t="shared" ref="L83" si="101">E83+H83+K83</f>
        <v>0.33333333333333298</v>
      </c>
    </row>
    <row r="84" spans="1:13" s="90" customFormat="1">
      <c r="A84" s="108"/>
      <c r="B84" s="98"/>
      <c r="C84" s="109"/>
      <c r="D84" s="109"/>
      <c r="E84" s="110">
        <f>SUM(E74:E83)</f>
        <v>1</v>
      </c>
      <c r="F84" s="111"/>
      <c r="G84" s="111"/>
      <c r="H84" s="110">
        <f>SUM(H74:H83)</f>
        <v>0.83333333333333304</v>
      </c>
      <c r="I84" s="109"/>
      <c r="J84" s="109"/>
      <c r="K84" s="110">
        <f>SUM(K74:K83)</f>
        <v>0.5</v>
      </c>
      <c r="L84" s="110">
        <f>SUM(L74:L83)</f>
        <v>2.3333333333333299</v>
      </c>
      <c r="M84" s="108"/>
    </row>
    <row r="86" spans="1:13">
      <c r="C86" s="133" t="s">
        <v>2</v>
      </c>
      <c r="G86" s="5" t="s">
        <v>37</v>
      </c>
      <c r="H86" s="6">
        <f>+H71+1</f>
        <v>46249</v>
      </c>
    </row>
    <row r="87" spans="1:13">
      <c r="C87" s="172" t="s">
        <v>3</v>
      </c>
      <c r="D87" s="172"/>
      <c r="E87" s="172"/>
      <c r="F87" s="173" t="s">
        <v>4</v>
      </c>
      <c r="G87" s="173"/>
      <c r="H87" s="173"/>
      <c r="I87" s="174" t="s">
        <v>5</v>
      </c>
      <c r="J87" s="174"/>
      <c r="K87" s="174"/>
    </row>
    <row r="88" spans="1:13">
      <c r="B88" s="95" t="s">
        <v>6</v>
      </c>
      <c r="C88" s="96" t="s">
        <v>7</v>
      </c>
      <c r="D88" s="96" t="s">
        <v>8</v>
      </c>
      <c r="E88" s="96" t="s">
        <v>9</v>
      </c>
      <c r="F88" s="97" t="s">
        <v>7</v>
      </c>
      <c r="G88" s="97" t="s">
        <v>8</v>
      </c>
      <c r="H88" s="97" t="s">
        <v>9</v>
      </c>
      <c r="I88" s="112" t="s">
        <v>7</v>
      </c>
      <c r="J88" s="112" t="s">
        <v>8</v>
      </c>
      <c r="K88" s="112" t="s">
        <v>9</v>
      </c>
      <c r="L88" s="95" t="s">
        <v>10</v>
      </c>
    </row>
    <row r="89" spans="1:13" s="39" customFormat="1">
      <c r="A89" s="159" t="s">
        <v>11</v>
      </c>
      <c r="B89" s="160" t="s">
        <v>12</v>
      </c>
      <c r="C89" s="99">
        <v>0.25</v>
      </c>
      <c r="D89" s="100">
        <v>0.5</v>
      </c>
      <c r="E89" s="101">
        <f t="shared" ref="E89:E95" si="102">IF(D89&gt;C89,D89-C89,C89-D89)</f>
        <v>0.25</v>
      </c>
      <c r="F89" s="100">
        <v>0.5</v>
      </c>
      <c r="G89" s="99">
        <v>0.58333333333333304</v>
      </c>
      <c r="H89" s="101">
        <f t="shared" ref="H89:H95" si="103">IF(G89&gt;F89,G89-F89,F89-G89)</f>
        <v>8.3333333333333398E-2</v>
      </c>
      <c r="I89" s="100"/>
      <c r="J89" s="100"/>
      <c r="K89" s="102">
        <f t="shared" ref="K89:K95" si="104">IF(J89&gt;I89,J89-I89,I89-J89)</f>
        <v>0</v>
      </c>
      <c r="L89" s="113">
        <f t="shared" ref="L89:L98" si="105">E89+H89+K89</f>
        <v>0.33333333333333298</v>
      </c>
      <c r="M89" s="92"/>
    </row>
    <row r="90" spans="1:13">
      <c r="A90" s="159" t="s">
        <v>13</v>
      </c>
      <c r="B90" s="164" t="s">
        <v>14</v>
      </c>
      <c r="C90" s="99">
        <v>0.41666666666666702</v>
      </c>
      <c r="D90" s="99">
        <v>0.58333333333333304</v>
      </c>
      <c r="E90" s="101">
        <f t="shared" si="102"/>
        <v>0.16666666666666699</v>
      </c>
      <c r="F90" s="99"/>
      <c r="G90" s="100"/>
      <c r="H90" s="102">
        <f t="shared" si="103"/>
        <v>0</v>
      </c>
      <c r="I90" s="100">
        <v>0.75</v>
      </c>
      <c r="J90" s="99">
        <v>0.91666666666666696</v>
      </c>
      <c r="K90" s="102">
        <f t="shared" si="104"/>
        <v>0.16666666666666699</v>
      </c>
      <c r="L90" s="113">
        <f t="shared" si="105"/>
        <v>0.33333333333333298</v>
      </c>
    </row>
    <row r="91" spans="1:13" s="132" customFormat="1">
      <c r="A91" s="159" t="s">
        <v>15</v>
      </c>
      <c r="B91" s="165" t="s">
        <v>16</v>
      </c>
      <c r="C91" s="100"/>
      <c r="D91" s="100"/>
      <c r="E91" s="101">
        <f t="shared" ref="E91" si="106">IF(D91&gt;C91,D91-C91,C91-D91)</f>
        <v>0</v>
      </c>
      <c r="F91" s="99">
        <v>0.58333333333333304</v>
      </c>
      <c r="G91" s="100">
        <v>0.75</v>
      </c>
      <c r="H91" s="102">
        <f t="shared" ref="H91" si="107">IF(G91&gt;F91,G91-F91,F91-G91)</f>
        <v>0.16666666666666699</v>
      </c>
      <c r="I91" s="100">
        <v>0.75</v>
      </c>
      <c r="J91" s="99">
        <v>0.91666666666666696</v>
      </c>
      <c r="K91" s="102">
        <f t="shared" ref="K91" si="108">IF(J91&gt;I91,J91-I91,I91-J91)</f>
        <v>0.16666666666666699</v>
      </c>
      <c r="L91" s="113">
        <f t="shared" ref="L91" si="109">E91+H91+K91</f>
        <v>0.33333333333333298</v>
      </c>
      <c r="M91" s="92"/>
    </row>
    <row r="92" spans="1:13">
      <c r="A92" s="159" t="s">
        <v>17</v>
      </c>
      <c r="B92" s="160" t="s">
        <v>18</v>
      </c>
      <c r="C92" s="100"/>
      <c r="D92" s="100"/>
      <c r="E92" s="101">
        <f t="shared" ref="E92:E93" si="110">IF(D92&gt;C92,D92-C92,C92-D92)</f>
        <v>0</v>
      </c>
      <c r="F92" s="99">
        <v>0.58333333333333304</v>
      </c>
      <c r="G92" s="100">
        <v>0.75</v>
      </c>
      <c r="H92" s="102">
        <f t="shared" ref="H92:H93" si="111">IF(G92&gt;F92,G92-F92,F92-G92)</f>
        <v>0.16666666666666699</v>
      </c>
      <c r="I92" s="100">
        <v>0.75</v>
      </c>
      <c r="J92" s="99">
        <v>0.91666666666666696</v>
      </c>
      <c r="K92" s="102">
        <f t="shared" ref="K92" si="112">IF(J92&gt;I92,J92-I92,I92-J92)</f>
        <v>0.16666666666666699</v>
      </c>
      <c r="L92" s="113">
        <f t="shared" ref="L92" si="113">E92+H92+K92</f>
        <v>0.33333333333333298</v>
      </c>
    </row>
    <row r="93" spans="1:13">
      <c r="A93" s="159" t="s">
        <v>19</v>
      </c>
      <c r="B93" s="160" t="s">
        <v>20</v>
      </c>
      <c r="C93" s="99">
        <v>0.41666666666666702</v>
      </c>
      <c r="D93" s="99">
        <v>0.58333333333333304</v>
      </c>
      <c r="E93" s="101">
        <f t="shared" si="110"/>
        <v>0.16666666666666699</v>
      </c>
      <c r="F93" s="99">
        <v>0.58333333333333304</v>
      </c>
      <c r="G93" s="100">
        <v>0.75</v>
      </c>
      <c r="H93" s="102">
        <f t="shared" si="111"/>
        <v>0.16666666666666699</v>
      </c>
      <c r="I93" s="100"/>
      <c r="J93" s="100"/>
      <c r="K93" s="102">
        <f t="shared" si="104"/>
        <v>0</v>
      </c>
      <c r="L93" s="113">
        <f t="shared" si="105"/>
        <v>0.33333333333333298</v>
      </c>
    </row>
    <row r="94" spans="1:13">
      <c r="A94" s="159" t="s">
        <v>21</v>
      </c>
      <c r="B94" s="165" t="s">
        <v>22</v>
      </c>
      <c r="C94" s="100"/>
      <c r="D94" s="100"/>
      <c r="E94" s="101">
        <f t="shared" si="102"/>
        <v>0</v>
      </c>
      <c r="F94" s="99">
        <v>0.58333333333333304</v>
      </c>
      <c r="G94" s="100">
        <v>0.75</v>
      </c>
      <c r="H94" s="102">
        <f t="shared" si="103"/>
        <v>0.16666666666666699</v>
      </c>
      <c r="I94" s="100">
        <v>0.75</v>
      </c>
      <c r="J94" s="99">
        <v>0.91666666666666696</v>
      </c>
      <c r="K94" s="102">
        <f t="shared" si="104"/>
        <v>0.16666666666666699</v>
      </c>
      <c r="L94" s="113">
        <f t="shared" si="105"/>
        <v>0.33333333333333298</v>
      </c>
    </row>
    <row r="95" spans="1:13" s="39" customFormat="1">
      <c r="A95" s="159" t="s">
        <v>23</v>
      </c>
      <c r="B95" s="165" t="s">
        <v>24</v>
      </c>
      <c r="C95" s="99">
        <v>0.25</v>
      </c>
      <c r="D95" s="100">
        <v>0.5</v>
      </c>
      <c r="E95" s="101">
        <f t="shared" si="102"/>
        <v>0.25</v>
      </c>
      <c r="F95" s="100">
        <v>0.5</v>
      </c>
      <c r="G95" s="99">
        <v>0.58333333333333304</v>
      </c>
      <c r="H95" s="101">
        <f t="shared" si="103"/>
        <v>8.3333333333333398E-2</v>
      </c>
      <c r="I95" s="100"/>
      <c r="J95" s="100"/>
      <c r="K95" s="102">
        <f t="shared" si="104"/>
        <v>0</v>
      </c>
      <c r="L95" s="113">
        <f t="shared" si="105"/>
        <v>0.33333333333333298</v>
      </c>
      <c r="M95" s="92"/>
    </row>
    <row r="96" spans="1:13" s="132" customFormat="1">
      <c r="A96" s="159" t="s">
        <v>26</v>
      </c>
      <c r="B96" s="140" t="s">
        <v>27</v>
      </c>
      <c r="C96" s="99">
        <v>0.25</v>
      </c>
      <c r="D96" s="100">
        <v>0.5</v>
      </c>
      <c r="E96" s="101">
        <f t="shared" ref="E96:E97" si="114">IF(D96&gt;C96,D96-C96,C96-D96)</f>
        <v>0.25</v>
      </c>
      <c r="F96" s="100">
        <v>0.5</v>
      </c>
      <c r="G96" s="99">
        <v>0.58333333333333304</v>
      </c>
      <c r="H96" s="101">
        <f t="shared" ref="H96:H97" si="115">IF(G96&gt;F96,G96-F96,F96-G96)</f>
        <v>8.3333333333333398E-2</v>
      </c>
      <c r="I96" s="100"/>
      <c r="J96" s="100"/>
      <c r="K96" s="102">
        <f t="shared" ref="K96:K97" si="116">IF(J96&gt;I96,J96-I96,I96-J96)</f>
        <v>0</v>
      </c>
      <c r="L96" s="113">
        <f t="shared" ref="L96:L97" si="117">E96+H96+K96</f>
        <v>0.33333333333333298</v>
      </c>
      <c r="M96" s="92"/>
    </row>
    <row r="97" spans="1:14" ht="15.6" customHeight="1">
      <c r="A97" s="159" t="s">
        <v>28</v>
      </c>
      <c r="B97" s="165" t="s">
        <v>29</v>
      </c>
      <c r="C97" s="34"/>
      <c r="D97" s="34"/>
      <c r="E97" s="35">
        <f t="shared" si="114"/>
        <v>0</v>
      </c>
      <c r="F97" s="34"/>
      <c r="G97" s="34"/>
      <c r="H97" s="36">
        <f t="shared" si="115"/>
        <v>0</v>
      </c>
      <c r="I97" s="34"/>
      <c r="J97" s="34"/>
      <c r="K97" s="36">
        <f t="shared" si="116"/>
        <v>0</v>
      </c>
      <c r="L97" s="37">
        <f t="shared" si="117"/>
        <v>0</v>
      </c>
      <c r="M97" s="38" t="s">
        <v>25</v>
      </c>
    </row>
    <row r="98" spans="1:14">
      <c r="A98" s="159" t="s">
        <v>30</v>
      </c>
      <c r="B98" s="160" t="s">
        <v>31</v>
      </c>
      <c r="C98" s="99">
        <v>0.25</v>
      </c>
      <c r="D98" s="100">
        <v>0.5</v>
      </c>
      <c r="E98" s="101">
        <f t="shared" ref="E98" si="118">IF(D98&gt;C98,D98-C98,C98-D98)</f>
        <v>0.25</v>
      </c>
      <c r="F98" s="100">
        <v>0.5</v>
      </c>
      <c r="G98" s="99">
        <v>0.58333333333333304</v>
      </c>
      <c r="H98" s="102">
        <f t="shared" ref="H98" si="119">IF(G98&gt;F98,G98-F98,F98-G98)</f>
        <v>8.3333333333333398E-2</v>
      </c>
      <c r="I98" s="100"/>
      <c r="J98" s="100"/>
      <c r="K98" s="102">
        <f t="shared" ref="K98" si="120">IF(J98&gt;I98,J98-I98,I98-J98)</f>
        <v>0</v>
      </c>
      <c r="L98" s="113">
        <f t="shared" si="105"/>
        <v>0.33333333333333298</v>
      </c>
    </row>
    <row r="99" spans="1:14" s="90" customFormat="1">
      <c r="A99" s="108"/>
      <c r="B99" s="98"/>
      <c r="C99" s="109"/>
      <c r="D99" s="109"/>
      <c r="E99" s="110">
        <f>SUM(E89:E98)</f>
        <v>1.3333333333333299</v>
      </c>
      <c r="F99" s="111"/>
      <c r="G99" s="111"/>
      <c r="H99" s="110">
        <f>SUM(H89:H98)</f>
        <v>1</v>
      </c>
      <c r="I99" s="109"/>
      <c r="J99" s="109"/>
      <c r="K99" s="110">
        <f>SUM(K89:K98)</f>
        <v>0.66666666666666696</v>
      </c>
      <c r="L99" s="110">
        <f>SUM(L89:L98)</f>
        <v>3</v>
      </c>
      <c r="M99" s="108"/>
    </row>
    <row r="101" spans="1:14">
      <c r="C101" s="133" t="s">
        <v>2</v>
      </c>
      <c r="G101" s="5" t="s">
        <v>38</v>
      </c>
      <c r="H101" s="6">
        <f>+H86+1</f>
        <v>46250</v>
      </c>
    </row>
    <row r="102" spans="1:14">
      <c r="C102" s="172" t="s">
        <v>3</v>
      </c>
      <c r="D102" s="172"/>
      <c r="E102" s="172"/>
      <c r="F102" s="173" t="s">
        <v>4</v>
      </c>
      <c r="G102" s="173"/>
      <c r="H102" s="173"/>
      <c r="I102" s="174" t="s">
        <v>5</v>
      </c>
      <c r="J102" s="174"/>
      <c r="K102" s="174"/>
    </row>
    <row r="103" spans="1:14">
      <c r="B103" s="95" t="s">
        <v>6</v>
      </c>
      <c r="C103" s="96" t="s">
        <v>7</v>
      </c>
      <c r="D103" s="96" t="s">
        <v>8</v>
      </c>
      <c r="E103" s="96" t="s">
        <v>9</v>
      </c>
      <c r="F103" s="97" t="s">
        <v>7</v>
      </c>
      <c r="G103" s="97" t="s">
        <v>8</v>
      </c>
      <c r="H103" s="97" t="s">
        <v>9</v>
      </c>
      <c r="I103" s="112" t="s">
        <v>7</v>
      </c>
      <c r="J103" s="112" t="s">
        <v>8</v>
      </c>
      <c r="K103" s="112" t="s">
        <v>9</v>
      </c>
      <c r="L103" s="95" t="s">
        <v>10</v>
      </c>
    </row>
    <row r="104" spans="1:14" s="39" customFormat="1">
      <c r="A104" s="159" t="s">
        <v>11</v>
      </c>
      <c r="B104" s="160" t="s">
        <v>12</v>
      </c>
      <c r="C104" s="99">
        <v>0.25</v>
      </c>
      <c r="D104" s="100">
        <v>0.5</v>
      </c>
      <c r="E104" s="101">
        <f t="shared" ref="E104" si="121">IF(D104&gt;C104,D104-C104,C104-D104)</f>
        <v>0.25</v>
      </c>
      <c r="F104" s="100">
        <v>0.5</v>
      </c>
      <c r="G104" s="99">
        <v>0.58333333333333304</v>
      </c>
      <c r="H104" s="102">
        <f t="shared" ref="H104" si="122">IF(G104&gt;F104,G104-F104,F104-G104)</f>
        <v>8.3333333333333398E-2</v>
      </c>
      <c r="I104" s="100"/>
      <c r="J104" s="100"/>
      <c r="K104" s="102">
        <f t="shared" ref="K104" si="123">IF(J104&gt;I104,J104-I104,I104-J104)</f>
        <v>0</v>
      </c>
      <c r="L104" s="113">
        <f t="shared" ref="L104" si="124">E104+H104+K104</f>
        <v>0.33333333333333298</v>
      </c>
      <c r="M104" s="92"/>
    </row>
    <row r="105" spans="1:14">
      <c r="A105" s="159" t="s">
        <v>13</v>
      </c>
      <c r="B105" s="164" t="s">
        <v>14</v>
      </c>
      <c r="C105" s="99">
        <v>0.41666666666666702</v>
      </c>
      <c r="D105" s="99">
        <v>0.58333333333333304</v>
      </c>
      <c r="E105" s="101">
        <f t="shared" ref="E105:E111" si="125">IF(D105&gt;C105,D105-C105,C105-D105)</f>
        <v>0.16666666666666699</v>
      </c>
      <c r="F105" s="99"/>
      <c r="G105" s="100"/>
      <c r="H105" s="102">
        <f t="shared" ref="H105:H111" si="126">IF(G105&gt;F105,G105-F105,F105-G105)</f>
        <v>0</v>
      </c>
      <c r="I105" s="100">
        <v>0.75</v>
      </c>
      <c r="J105" s="99">
        <v>0.91666666666666696</v>
      </c>
      <c r="K105" s="102">
        <f t="shared" ref="K105:K111" si="127">IF(J105&gt;I105,J105-I105,I105-J105)</f>
        <v>0.16666666666666699</v>
      </c>
      <c r="L105" s="113">
        <f t="shared" ref="L105:L111" si="128">E105+H105+K105</f>
        <v>0.33333333333333298</v>
      </c>
    </row>
    <row r="106" spans="1:14" s="132" customFormat="1">
      <c r="A106" s="159" t="s">
        <v>15</v>
      </c>
      <c r="B106" s="165" t="s">
        <v>16</v>
      </c>
      <c r="C106" s="100"/>
      <c r="D106" s="100"/>
      <c r="E106" s="101">
        <f t="shared" si="125"/>
        <v>0</v>
      </c>
      <c r="F106" s="99">
        <v>0.58333333333333304</v>
      </c>
      <c r="G106" s="100">
        <v>0.75</v>
      </c>
      <c r="H106" s="102">
        <f t="shared" si="126"/>
        <v>0.16666666666666699</v>
      </c>
      <c r="I106" s="100">
        <v>0.75</v>
      </c>
      <c r="J106" s="99">
        <v>0.91666666666666696</v>
      </c>
      <c r="K106" s="102">
        <f t="shared" si="127"/>
        <v>0.16666666666666699</v>
      </c>
      <c r="L106" s="113">
        <f t="shared" si="128"/>
        <v>0.33333333333333298</v>
      </c>
      <c r="M106" s="92"/>
    </row>
    <row r="107" spans="1:14">
      <c r="A107" s="159" t="s">
        <v>17</v>
      </c>
      <c r="B107" s="160" t="s">
        <v>18</v>
      </c>
      <c r="C107" s="100"/>
      <c r="D107" s="100"/>
      <c r="E107" s="101">
        <f t="shared" ref="E107" si="129">IF(D107&gt;C107,D107-C107,C107-D107)</f>
        <v>0</v>
      </c>
      <c r="F107" s="99">
        <v>0.58333333333333304</v>
      </c>
      <c r="G107" s="100">
        <v>0.75</v>
      </c>
      <c r="H107" s="102">
        <f t="shared" ref="H107" si="130">IF(G107&gt;F107,G107-F107,F107-G107)</f>
        <v>0.16666666666666699</v>
      </c>
      <c r="I107" s="100">
        <v>0.75</v>
      </c>
      <c r="J107" s="99">
        <v>0.91666666666666696</v>
      </c>
      <c r="K107" s="102">
        <f t="shared" ref="K107" si="131">IF(J107&gt;I107,J107-I107,I107-J107)</f>
        <v>0.16666666666666699</v>
      </c>
      <c r="L107" s="113">
        <f t="shared" ref="L107" si="132">E107+H107+K107</f>
        <v>0.33333333333333298</v>
      </c>
    </row>
    <row r="108" spans="1:14">
      <c r="A108" s="159" t="s">
        <v>19</v>
      </c>
      <c r="B108" s="160" t="s">
        <v>20</v>
      </c>
      <c r="C108" s="99">
        <v>0.25</v>
      </c>
      <c r="D108" s="100">
        <v>0.5</v>
      </c>
      <c r="E108" s="101">
        <f t="shared" si="125"/>
        <v>0.25</v>
      </c>
      <c r="F108" s="100">
        <v>0.5</v>
      </c>
      <c r="G108" s="99">
        <v>0.58333333333333304</v>
      </c>
      <c r="H108" s="102">
        <f t="shared" si="126"/>
        <v>8.3333333333333398E-2</v>
      </c>
      <c r="I108" s="100"/>
      <c r="J108" s="100"/>
      <c r="K108" s="102">
        <f t="shared" si="127"/>
        <v>0</v>
      </c>
      <c r="L108" s="113">
        <f t="shared" si="128"/>
        <v>0.33333333333333298</v>
      </c>
    </row>
    <row r="109" spans="1:14">
      <c r="A109" s="159" t="s">
        <v>21</v>
      </c>
      <c r="B109" s="165" t="s">
        <v>22</v>
      </c>
      <c r="C109" s="100"/>
      <c r="D109" s="100"/>
      <c r="E109" s="101">
        <f t="shared" si="125"/>
        <v>0</v>
      </c>
      <c r="F109" s="99">
        <v>0.58333333333333304</v>
      </c>
      <c r="G109" s="100">
        <v>0.75</v>
      </c>
      <c r="H109" s="102">
        <f t="shared" si="126"/>
        <v>0.16666666666666699</v>
      </c>
      <c r="I109" s="100">
        <v>0.75</v>
      </c>
      <c r="J109" s="99">
        <v>0.91666666666666696</v>
      </c>
      <c r="K109" s="102">
        <f t="shared" si="127"/>
        <v>0.16666666666666699</v>
      </c>
      <c r="L109" s="113">
        <f t="shared" si="128"/>
        <v>0.33333333333333298</v>
      </c>
    </row>
    <row r="110" spans="1:14" s="39" customFormat="1" ht="17.45" customHeight="1">
      <c r="A110" s="159" t="s">
        <v>23</v>
      </c>
      <c r="B110" s="164" t="s">
        <v>24</v>
      </c>
      <c r="C110" s="99">
        <v>0.25</v>
      </c>
      <c r="D110" s="100">
        <v>0.5</v>
      </c>
      <c r="E110" s="101">
        <f t="shared" ref="E110" si="133">IF(D110&gt;C110,D110-C110,C110-D110)</f>
        <v>0.25</v>
      </c>
      <c r="F110" s="100">
        <v>0.5</v>
      </c>
      <c r="G110" s="99">
        <v>0.58333333333333304</v>
      </c>
      <c r="H110" s="102">
        <f t="shared" ref="H110" si="134">IF(G110&gt;F110,G110-F110,F110-G110)</f>
        <v>8.3333333333333398E-2</v>
      </c>
      <c r="I110" s="100"/>
      <c r="J110" s="100"/>
      <c r="K110" s="102">
        <f t="shared" ref="K110" si="135">IF(J110&gt;I110,J110-I110,I110-J110)</f>
        <v>0</v>
      </c>
      <c r="L110" s="113">
        <f t="shared" ref="L110" si="136">E110+H110+K110</f>
        <v>0.33333333333333298</v>
      </c>
      <c r="M110" s="92"/>
    </row>
    <row r="111" spans="1:14" s="39" customFormat="1">
      <c r="A111" s="159" t="s">
        <v>26</v>
      </c>
      <c r="B111" s="140" t="s">
        <v>27</v>
      </c>
      <c r="C111" s="34"/>
      <c r="D111" s="34"/>
      <c r="E111" s="35">
        <f t="shared" si="125"/>
        <v>0</v>
      </c>
      <c r="F111" s="34"/>
      <c r="G111" s="34"/>
      <c r="H111" s="36">
        <f t="shared" si="126"/>
        <v>0</v>
      </c>
      <c r="I111" s="34"/>
      <c r="J111" s="34"/>
      <c r="K111" s="36">
        <f t="shared" si="127"/>
        <v>0</v>
      </c>
      <c r="L111" s="37">
        <f t="shared" si="128"/>
        <v>0</v>
      </c>
      <c r="M111" s="38" t="s">
        <v>25</v>
      </c>
    </row>
    <row r="112" spans="1:14">
      <c r="A112" s="159" t="s">
        <v>28</v>
      </c>
      <c r="B112" s="165" t="s">
        <v>29</v>
      </c>
      <c r="C112" s="34"/>
      <c r="D112" s="34"/>
      <c r="E112" s="35">
        <f t="shared" ref="E112" si="137">IF(D112&gt;C112,D112-C112,C112-D112)</f>
        <v>0</v>
      </c>
      <c r="F112" s="34"/>
      <c r="G112" s="34"/>
      <c r="H112" s="36">
        <f t="shared" ref="H112" si="138">IF(G112&gt;F112,G112-F112,F112-G112)</f>
        <v>0</v>
      </c>
      <c r="I112" s="34"/>
      <c r="J112" s="34"/>
      <c r="K112" s="36">
        <f t="shared" ref="K112" si="139">IF(J112&gt;I112,J112-I112,I112-J112)</f>
        <v>0</v>
      </c>
      <c r="L112" s="37">
        <f t="shared" ref="L112" si="140">E112+H112+K112</f>
        <v>0</v>
      </c>
      <c r="M112" s="38" t="s">
        <v>25</v>
      </c>
      <c r="N112" s="39"/>
    </row>
    <row r="113" spans="1:13">
      <c r="A113" s="159" t="s">
        <v>30</v>
      </c>
      <c r="B113" s="160" t="s">
        <v>31</v>
      </c>
      <c r="C113" s="99">
        <v>0.25</v>
      </c>
      <c r="D113" s="100">
        <v>0.5</v>
      </c>
      <c r="E113" s="101">
        <f t="shared" ref="E113" si="141">IF(D113&gt;C113,D113-C113,C113-D113)</f>
        <v>0.25</v>
      </c>
      <c r="F113" s="100">
        <v>0.5</v>
      </c>
      <c r="G113" s="99">
        <v>0.58333333333333304</v>
      </c>
      <c r="H113" s="102">
        <f t="shared" ref="H113" si="142">IF(G113&gt;F113,G113-F113,F113-G113)</f>
        <v>8.3333333333333398E-2</v>
      </c>
      <c r="I113" s="100"/>
      <c r="J113" s="100"/>
      <c r="K113" s="102">
        <f t="shared" ref="K113" si="143">IF(J113&gt;I113,J113-I113,I113-J113)</f>
        <v>0</v>
      </c>
      <c r="L113" s="113">
        <f t="shared" ref="L113" si="144">E113+H113+K113</f>
        <v>0.33333333333333298</v>
      </c>
    </row>
    <row r="114" spans="1:13" s="90" customFormat="1">
      <c r="A114" s="108"/>
      <c r="B114" s="98"/>
      <c r="C114" s="109"/>
      <c r="D114" s="109"/>
      <c r="E114" s="110">
        <f>SUM(E104:E113)</f>
        <v>1.1666666666666701</v>
      </c>
      <c r="F114" s="111"/>
      <c r="G114" s="111"/>
      <c r="H114" s="110">
        <f>SUM(H104:H113)</f>
        <v>0.83333333333333304</v>
      </c>
      <c r="I114" s="109"/>
      <c r="J114" s="109"/>
      <c r="K114" s="110">
        <f>SUM(K104:K113)</f>
        <v>0.66666666666666696</v>
      </c>
      <c r="L114" s="110">
        <f>SUM(L104:L113)</f>
        <v>2.6666666666666701</v>
      </c>
      <c r="M114" s="108"/>
    </row>
    <row r="115" spans="1:13">
      <c r="C115" s="133" t="s">
        <v>2</v>
      </c>
      <c r="G115" s="5" t="s">
        <v>39</v>
      </c>
      <c r="H115" s="6">
        <f>+H101+1</f>
        <v>46251</v>
      </c>
    </row>
    <row r="116" spans="1:13">
      <c r="C116" s="172" t="s">
        <v>3</v>
      </c>
      <c r="D116" s="172"/>
      <c r="E116" s="172"/>
      <c r="F116" s="173" t="s">
        <v>4</v>
      </c>
      <c r="G116" s="173"/>
      <c r="H116" s="173"/>
      <c r="I116" s="174" t="s">
        <v>5</v>
      </c>
      <c r="J116" s="174"/>
      <c r="K116" s="174"/>
    </row>
    <row r="117" spans="1:13">
      <c r="B117" s="95" t="s">
        <v>6</v>
      </c>
      <c r="C117" s="96" t="s">
        <v>7</v>
      </c>
      <c r="D117" s="96" t="s">
        <v>8</v>
      </c>
      <c r="E117" s="96" t="s">
        <v>9</v>
      </c>
      <c r="F117" s="97" t="s">
        <v>7</v>
      </c>
      <c r="G117" s="97" t="s">
        <v>8</v>
      </c>
      <c r="H117" s="97" t="s">
        <v>9</v>
      </c>
      <c r="I117" s="112" t="s">
        <v>7</v>
      </c>
      <c r="J117" s="112" t="s">
        <v>8</v>
      </c>
      <c r="K117" s="112" t="s">
        <v>9</v>
      </c>
      <c r="L117" s="95" t="s">
        <v>10</v>
      </c>
    </row>
    <row r="118" spans="1:13" s="39" customFormat="1">
      <c r="A118" s="159" t="s">
        <v>11</v>
      </c>
      <c r="B118" s="160" t="s">
        <v>12</v>
      </c>
      <c r="C118" s="99">
        <v>0.25</v>
      </c>
      <c r="D118" s="100">
        <v>0.5</v>
      </c>
      <c r="E118" s="101">
        <f t="shared" ref="E118:E127" si="145">IF(D118&gt;C118,D118-C118,C118-D118)</f>
        <v>0.25</v>
      </c>
      <c r="F118" s="100">
        <v>0.5</v>
      </c>
      <c r="G118" s="99">
        <v>0.58333333333333304</v>
      </c>
      <c r="H118" s="102">
        <f t="shared" ref="H118:H127" si="146">IF(G118&gt;F118,G118-F118,F118-G118)</f>
        <v>8.3333333333333398E-2</v>
      </c>
      <c r="I118" s="100"/>
      <c r="J118" s="100"/>
      <c r="K118" s="102">
        <f t="shared" ref="K118:K127" si="147">IF(J118&gt;I118,J118-I118,I118-J118)</f>
        <v>0</v>
      </c>
      <c r="L118" s="113">
        <f t="shared" ref="L118:L127" si="148">E118+H118+K118</f>
        <v>0.33333333333333298</v>
      </c>
      <c r="M118" s="92"/>
    </row>
    <row r="119" spans="1:13" s="39" customFormat="1">
      <c r="A119" s="159" t="s">
        <v>13</v>
      </c>
      <c r="B119" s="164" t="s">
        <v>14</v>
      </c>
      <c r="C119" s="99">
        <v>0.41666666666666702</v>
      </c>
      <c r="D119" s="99">
        <v>0.58333333333333304</v>
      </c>
      <c r="E119" s="101">
        <f t="shared" si="145"/>
        <v>0.16666666666666699</v>
      </c>
      <c r="F119" s="99"/>
      <c r="G119" s="100"/>
      <c r="H119" s="102">
        <f t="shared" si="146"/>
        <v>0</v>
      </c>
      <c r="I119" s="100">
        <v>0.75</v>
      </c>
      <c r="J119" s="99">
        <v>0.91666666666666696</v>
      </c>
      <c r="K119" s="102">
        <f t="shared" si="147"/>
        <v>0.16666666666666699</v>
      </c>
      <c r="L119" s="113">
        <f t="shared" si="148"/>
        <v>0.33333333333333298</v>
      </c>
      <c r="M119" s="92"/>
    </row>
    <row r="120" spans="1:13" s="132" customFormat="1">
      <c r="A120" s="159" t="s">
        <v>15</v>
      </c>
      <c r="B120" s="165" t="s">
        <v>16</v>
      </c>
      <c r="C120" s="100"/>
      <c r="D120" s="100"/>
      <c r="E120" s="101">
        <f t="shared" si="145"/>
        <v>0</v>
      </c>
      <c r="F120" s="99">
        <v>0.58333333333333304</v>
      </c>
      <c r="G120" s="100">
        <v>0.75</v>
      </c>
      <c r="H120" s="102">
        <f t="shared" si="146"/>
        <v>0.16666666666666699</v>
      </c>
      <c r="I120" s="100">
        <v>0.75</v>
      </c>
      <c r="J120" s="99">
        <v>0.91666666666666696</v>
      </c>
      <c r="K120" s="102">
        <f t="shared" si="147"/>
        <v>0.16666666666666699</v>
      </c>
      <c r="L120" s="113">
        <f t="shared" si="148"/>
        <v>0.33333333333333298</v>
      </c>
      <c r="M120" s="92"/>
    </row>
    <row r="121" spans="1:13" s="132" customFormat="1">
      <c r="A121" s="159" t="s">
        <v>17</v>
      </c>
      <c r="B121" s="160" t="s">
        <v>18</v>
      </c>
      <c r="C121" s="100"/>
      <c r="D121" s="100"/>
      <c r="E121" s="101">
        <f t="shared" ref="E121" si="149">IF(D121&gt;C121,D121-C121,C121-D121)</f>
        <v>0</v>
      </c>
      <c r="F121" s="99">
        <v>0.58333333333333304</v>
      </c>
      <c r="G121" s="100">
        <v>0.75</v>
      </c>
      <c r="H121" s="102">
        <f t="shared" ref="H121" si="150">IF(G121&gt;F121,G121-F121,F121-G121)</f>
        <v>0.16666666666666699</v>
      </c>
      <c r="I121" s="100">
        <v>0.75</v>
      </c>
      <c r="J121" s="99">
        <v>0.91666666666666696</v>
      </c>
      <c r="K121" s="102">
        <f t="shared" ref="K121" si="151">IF(J121&gt;I121,J121-I121,I121-J121)</f>
        <v>0.16666666666666699</v>
      </c>
      <c r="L121" s="113">
        <f t="shared" ref="L121" si="152">E121+H121+K121</f>
        <v>0.33333333333333298</v>
      </c>
      <c r="M121" s="92"/>
    </row>
    <row r="122" spans="1:13">
      <c r="A122" s="159" t="s">
        <v>19</v>
      </c>
      <c r="B122" s="160" t="s">
        <v>20</v>
      </c>
      <c r="C122" s="99">
        <v>0.25</v>
      </c>
      <c r="D122" s="100">
        <v>0.5</v>
      </c>
      <c r="E122" s="101">
        <f t="shared" si="145"/>
        <v>0.25</v>
      </c>
      <c r="F122" s="100">
        <v>0.5</v>
      </c>
      <c r="G122" s="99">
        <v>0.58333333333333304</v>
      </c>
      <c r="H122" s="102">
        <f t="shared" si="146"/>
        <v>8.3333333333333398E-2</v>
      </c>
      <c r="I122" s="100"/>
      <c r="J122" s="100"/>
      <c r="K122" s="102">
        <f t="shared" si="147"/>
        <v>0</v>
      </c>
      <c r="L122" s="113">
        <f t="shared" si="148"/>
        <v>0.33333333333333298</v>
      </c>
    </row>
    <row r="123" spans="1:13">
      <c r="A123" s="159" t="s">
        <v>21</v>
      </c>
      <c r="B123" s="165" t="s">
        <v>22</v>
      </c>
      <c r="C123" s="100"/>
      <c r="D123" s="100"/>
      <c r="E123" s="101">
        <f t="shared" si="145"/>
        <v>0</v>
      </c>
      <c r="F123" s="99">
        <v>0.58333333333333304</v>
      </c>
      <c r="G123" s="100">
        <v>0.75</v>
      </c>
      <c r="H123" s="102">
        <f t="shared" si="146"/>
        <v>0.16666666666666699</v>
      </c>
      <c r="I123" s="100">
        <v>0.75</v>
      </c>
      <c r="J123" s="99">
        <v>0.91666666666666696</v>
      </c>
      <c r="K123" s="102">
        <f t="shared" si="147"/>
        <v>0.16666666666666699</v>
      </c>
      <c r="L123" s="113">
        <f t="shared" si="148"/>
        <v>0.33333333333333298</v>
      </c>
    </row>
    <row r="124" spans="1:13" s="39" customFormat="1">
      <c r="A124" s="159" t="s">
        <v>23</v>
      </c>
      <c r="B124" s="140" t="s">
        <v>24</v>
      </c>
      <c r="C124" s="99">
        <v>0.25</v>
      </c>
      <c r="D124" s="100">
        <v>0.5</v>
      </c>
      <c r="E124" s="101">
        <f t="shared" ref="E124" si="153">IF(D124&gt;C124,D124-C124,C124-D124)</f>
        <v>0.25</v>
      </c>
      <c r="F124" s="100">
        <v>0.5</v>
      </c>
      <c r="G124" s="99">
        <v>0.58333333333333304</v>
      </c>
      <c r="H124" s="102">
        <f t="shared" ref="H124" si="154">IF(G124&gt;F124,G124-F124,F124-G124)</f>
        <v>8.3333333333333398E-2</v>
      </c>
      <c r="I124" s="100"/>
      <c r="J124" s="100"/>
      <c r="K124" s="102">
        <f t="shared" ref="K124" si="155">IF(J124&gt;I124,J124-I124,I124-J124)</f>
        <v>0</v>
      </c>
      <c r="L124" s="113">
        <f t="shared" ref="L124" si="156">E124+H124+K124</f>
        <v>0.33333333333333298</v>
      </c>
      <c r="M124" s="92"/>
    </row>
    <row r="125" spans="1:13">
      <c r="A125" s="159" t="s">
        <v>26</v>
      </c>
      <c r="B125" s="160" t="s">
        <v>27</v>
      </c>
      <c r="C125" s="99">
        <v>0.25</v>
      </c>
      <c r="D125" s="100">
        <v>0.5</v>
      </c>
      <c r="E125" s="101">
        <f t="shared" ref="E125:E126" si="157">IF(D125&gt;C125,D125-C125,C125-D125)</f>
        <v>0.25</v>
      </c>
      <c r="F125" s="100">
        <v>0.5</v>
      </c>
      <c r="G125" s="99">
        <v>0.58333333333333304</v>
      </c>
      <c r="H125" s="102">
        <f t="shared" ref="H125:H126" si="158">IF(G125&gt;F125,G125-F125,F125-G125)</f>
        <v>8.3333333333333398E-2</v>
      </c>
      <c r="I125" s="100"/>
      <c r="J125" s="100"/>
      <c r="K125" s="102">
        <f t="shared" ref="K125:K126" si="159">IF(J125&gt;I125,J125-I125,I125-J125)</f>
        <v>0</v>
      </c>
      <c r="L125" s="113">
        <f t="shared" ref="L125:L126" si="160">E125+H125+K125</f>
        <v>0.33333333333333298</v>
      </c>
    </row>
    <row r="126" spans="1:13">
      <c r="A126" s="159" t="s">
        <v>28</v>
      </c>
      <c r="B126" s="165" t="s">
        <v>29</v>
      </c>
      <c r="C126" s="34"/>
      <c r="D126" s="34"/>
      <c r="E126" s="35">
        <f t="shared" si="157"/>
        <v>0</v>
      </c>
      <c r="F126" s="34"/>
      <c r="G126" s="34"/>
      <c r="H126" s="36">
        <f t="shared" si="158"/>
        <v>0</v>
      </c>
      <c r="I126" s="34"/>
      <c r="J126" s="34"/>
      <c r="K126" s="36">
        <f t="shared" si="159"/>
        <v>0</v>
      </c>
      <c r="L126" s="37">
        <f t="shared" si="160"/>
        <v>0</v>
      </c>
      <c r="M126" s="38" t="s">
        <v>25</v>
      </c>
    </row>
    <row r="127" spans="1:13">
      <c r="A127" s="159" t="s">
        <v>30</v>
      </c>
      <c r="B127" s="140" t="s">
        <v>31</v>
      </c>
      <c r="C127" s="99">
        <v>0.25</v>
      </c>
      <c r="D127" s="100">
        <v>0.5</v>
      </c>
      <c r="E127" s="101">
        <f t="shared" si="145"/>
        <v>0.25</v>
      </c>
      <c r="F127" s="100">
        <v>0.5</v>
      </c>
      <c r="G127" s="99">
        <v>0.58333333333333304</v>
      </c>
      <c r="H127" s="102">
        <f t="shared" si="146"/>
        <v>8.3333333333333398E-2</v>
      </c>
      <c r="I127" s="100"/>
      <c r="J127" s="100"/>
      <c r="K127" s="102">
        <f t="shared" si="147"/>
        <v>0</v>
      </c>
      <c r="L127" s="113">
        <f t="shared" si="148"/>
        <v>0.33333333333333298</v>
      </c>
    </row>
    <row r="128" spans="1:13" s="90" customFormat="1">
      <c r="A128" s="108"/>
      <c r="B128" s="98"/>
      <c r="C128" s="109"/>
      <c r="D128" s="109"/>
      <c r="E128" s="110">
        <f>SUM(E118:E127)</f>
        <v>1.4166666666666701</v>
      </c>
      <c r="F128" s="111"/>
      <c r="G128" s="111"/>
      <c r="H128" s="110">
        <f>SUM(H118:H127)</f>
        <v>0.91666666666666696</v>
      </c>
      <c r="I128" s="109"/>
      <c r="J128" s="109"/>
      <c r="K128" s="110">
        <f>SUM(K118:K127)</f>
        <v>0.66666666666666696</v>
      </c>
      <c r="L128" s="110">
        <f>SUM(L118:L127)</f>
        <v>3</v>
      </c>
      <c r="M128" s="108"/>
    </row>
    <row r="129" spans="1:7">
      <c r="B129" s="93" t="s">
        <v>40</v>
      </c>
      <c r="G129" s="98"/>
    </row>
    <row r="130" spans="1:7">
      <c r="A130" s="39" t="s">
        <v>11</v>
      </c>
      <c r="B130" s="98" t="s">
        <v>12</v>
      </c>
      <c r="C130" s="116">
        <f t="shared" ref="C130:C138" si="161">+L8+L24+L41+L58+L74+L89+L104</f>
        <v>2</v>
      </c>
    </row>
    <row r="131" spans="1:7">
      <c r="A131" s="39" t="s">
        <v>13</v>
      </c>
      <c r="B131" s="98" t="s">
        <v>14</v>
      </c>
      <c r="C131" s="116">
        <f t="shared" si="161"/>
        <v>2</v>
      </c>
    </row>
    <row r="132" spans="1:7">
      <c r="B132" s="98" t="s">
        <v>16</v>
      </c>
      <c r="C132" s="116">
        <f t="shared" si="161"/>
        <v>1.6666666666666701</v>
      </c>
    </row>
    <row r="133" spans="1:7">
      <c r="A133" s="92" t="s">
        <v>17</v>
      </c>
      <c r="B133" s="98" t="s">
        <v>18</v>
      </c>
      <c r="C133" s="116">
        <f t="shared" si="161"/>
        <v>2</v>
      </c>
    </row>
    <row r="134" spans="1:7">
      <c r="B134" s="98" t="s">
        <v>20</v>
      </c>
      <c r="C134" s="116">
        <f t="shared" si="161"/>
        <v>2</v>
      </c>
    </row>
    <row r="135" spans="1:7">
      <c r="A135" s="92" t="s">
        <v>21</v>
      </c>
      <c r="B135" s="98" t="s">
        <v>22</v>
      </c>
      <c r="C135" s="116">
        <f t="shared" si="161"/>
        <v>2</v>
      </c>
    </row>
    <row r="136" spans="1:7">
      <c r="A136" s="39" t="s">
        <v>23</v>
      </c>
      <c r="B136" s="98" t="s">
        <v>24</v>
      </c>
      <c r="C136" s="116">
        <f t="shared" si="161"/>
        <v>2</v>
      </c>
    </row>
    <row r="137" spans="1:7">
      <c r="B137" s="98" t="s">
        <v>27</v>
      </c>
      <c r="C137" s="116">
        <f t="shared" si="161"/>
        <v>2</v>
      </c>
    </row>
    <row r="138" spans="1:7">
      <c r="A138" s="92" t="s">
        <v>28</v>
      </c>
      <c r="B138" s="98" t="s">
        <v>29</v>
      </c>
      <c r="C138" s="116">
        <f t="shared" si="161"/>
        <v>0.33333333333333298</v>
      </c>
    </row>
    <row r="139" spans="1:7">
      <c r="A139" s="39"/>
      <c r="B139" s="98"/>
      <c r="C139" s="116"/>
    </row>
    <row r="140" spans="1:7">
      <c r="A140" s="39"/>
      <c r="B140" s="98"/>
      <c r="C140" s="116"/>
    </row>
    <row r="141" spans="1:7">
      <c r="A141" s="39"/>
      <c r="B141" s="98"/>
      <c r="C141" s="116"/>
    </row>
  </sheetData>
  <sortState xmlns:xlrd2="http://schemas.microsoft.com/office/spreadsheetml/2017/richdata2" ref="A24:L32">
    <sortCondition ref="B24:B32"/>
  </sortState>
  <mergeCells count="25">
    <mergeCell ref="C56:E56"/>
    <mergeCell ref="F56:H56"/>
    <mergeCell ref="I56:K56"/>
    <mergeCell ref="C6:E6"/>
    <mergeCell ref="F6:H6"/>
    <mergeCell ref="I6:K6"/>
    <mergeCell ref="C22:E22"/>
    <mergeCell ref="F22:H22"/>
    <mergeCell ref="I22:K22"/>
    <mergeCell ref="E2:I3"/>
    <mergeCell ref="C102:E102"/>
    <mergeCell ref="F102:H102"/>
    <mergeCell ref="I102:K102"/>
    <mergeCell ref="C116:E116"/>
    <mergeCell ref="F116:H116"/>
    <mergeCell ref="I116:K116"/>
    <mergeCell ref="C72:E72"/>
    <mergeCell ref="F72:H72"/>
    <mergeCell ref="I72:K72"/>
    <mergeCell ref="C87:E87"/>
    <mergeCell ref="F87:H87"/>
    <mergeCell ref="I87:K87"/>
    <mergeCell ref="C39:E39"/>
    <mergeCell ref="F39:H39"/>
    <mergeCell ref="I39:K39"/>
  </mergeCells>
  <pageMargins left="0.7" right="0.7" top="0.75" bottom="0.75" header="0.3" footer="0.3"/>
  <pageSetup paperSize="9" orientation="portrait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N105"/>
  <sheetViews>
    <sheetView zoomScale="94" zoomScaleNormal="94" workbookViewId="0">
      <selection activeCell="O12" sqref="O12"/>
    </sheetView>
  </sheetViews>
  <sheetFormatPr defaultColWidth="11" defaultRowHeight="15"/>
  <cols>
    <col min="13" max="13" width="15.7109375" customWidth="1"/>
  </cols>
  <sheetData>
    <row r="2" spans="1:13">
      <c r="E2" s="171" t="s">
        <v>41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42</v>
      </c>
      <c r="G5" s="5" t="s">
        <v>39</v>
      </c>
      <c r="H5" s="6"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  <c r="M7" s="158"/>
    </row>
    <row r="8" spans="1:13" s="70" customFormat="1">
      <c r="A8" s="32" t="s">
        <v>43</v>
      </c>
      <c r="B8" s="155" t="s">
        <v>44</v>
      </c>
      <c r="C8" s="74">
        <v>0.25</v>
      </c>
      <c r="D8" s="56">
        <v>0.41666666666666702</v>
      </c>
      <c r="E8" s="56">
        <f>IF(D8&gt;C8,D8-C8,C8-D8)</f>
        <v>0.16666666666666699</v>
      </c>
      <c r="F8" s="56">
        <v>0.58333333333333304</v>
      </c>
      <c r="G8" s="56">
        <v>0.75</v>
      </c>
      <c r="H8" s="54">
        <f>IF(G8&gt;F8,G8-F8,F8-G8)</f>
        <v>0.16666666666666699</v>
      </c>
      <c r="I8" s="74">
        <v>0.75</v>
      </c>
      <c r="J8" s="74">
        <v>0.91666666666666696</v>
      </c>
      <c r="K8" s="56">
        <f t="shared" ref="K8:K9" si="0">IF(J8&gt;I8,J8-I8,I8-J8)</f>
        <v>0.16666666666666699</v>
      </c>
      <c r="L8" s="17">
        <f t="shared" ref="L8:L9" si="1">E8+H8+K8</f>
        <v>0.5</v>
      </c>
      <c r="M8" s="21"/>
    </row>
    <row r="9" spans="1:13" s="70" customFormat="1">
      <c r="A9" s="32" t="s">
        <v>45</v>
      </c>
      <c r="B9" s="10" t="s">
        <v>46</v>
      </c>
      <c r="C9" s="56"/>
      <c r="D9" s="56"/>
      <c r="E9" s="56">
        <f t="shared" ref="E9" si="2">IF(D9&gt;C9,D9-C9,C9-D9)</f>
        <v>0</v>
      </c>
      <c r="F9" s="56">
        <v>0.58333333333333304</v>
      </c>
      <c r="G9" s="56">
        <v>0.75</v>
      </c>
      <c r="H9" s="54">
        <f>IF(G9&gt;F9,G9-F9,F9-G9)</f>
        <v>0.16666666666666699</v>
      </c>
      <c r="I9" s="74">
        <v>0.75</v>
      </c>
      <c r="J9" s="74">
        <v>0.91666666666666696</v>
      </c>
      <c r="K9" s="56">
        <f t="shared" si="0"/>
        <v>0.16666666666666699</v>
      </c>
      <c r="L9" s="17">
        <f t="shared" si="1"/>
        <v>0.33333333333333298</v>
      </c>
      <c r="M9" s="71"/>
    </row>
    <row r="10" spans="1:13" s="70" customFormat="1">
      <c r="A10" t="s">
        <v>47</v>
      </c>
      <c r="B10" s="10" t="s">
        <v>48</v>
      </c>
      <c r="C10" s="74">
        <v>0.25</v>
      </c>
      <c r="D10" s="56">
        <v>0.5</v>
      </c>
      <c r="E10" s="56">
        <f t="shared" ref="E10:E13" si="3">IF(D10&gt;C10,D10-C10,C10-D10)</f>
        <v>0.25</v>
      </c>
      <c r="F10" s="56">
        <v>0.5</v>
      </c>
      <c r="G10" s="74">
        <v>0.58333333333333304</v>
      </c>
      <c r="H10" s="54">
        <f t="shared" ref="H10:H13" si="4">IF(G10&gt;F10,G10-F10,F10-G10)</f>
        <v>8.3333333333333398E-2</v>
      </c>
      <c r="I10" s="56"/>
      <c r="J10" s="56"/>
      <c r="K10" s="56">
        <f t="shared" ref="K10:K13" si="5">IF(J10&gt;I10,J10-I10,I10-J10)</f>
        <v>0</v>
      </c>
      <c r="L10" s="17">
        <f t="shared" ref="L10:L13" si="6">E10+H10+K10</f>
        <v>0.33333333333333298</v>
      </c>
      <c r="M10" s="21"/>
    </row>
    <row r="11" spans="1:13" s="70" customFormat="1">
      <c r="A11" s="32" t="s">
        <v>49</v>
      </c>
      <c r="B11" s="75" t="s">
        <v>50</v>
      </c>
      <c r="C11" s="56"/>
      <c r="D11" s="56"/>
      <c r="E11" s="56">
        <f t="shared" si="3"/>
        <v>0</v>
      </c>
      <c r="F11" s="56">
        <v>0.58333333333333304</v>
      </c>
      <c r="G11" s="56">
        <v>0.75</v>
      </c>
      <c r="H11" s="54">
        <f t="shared" si="4"/>
        <v>0.16666666666666699</v>
      </c>
      <c r="I11" s="74">
        <v>0.75</v>
      </c>
      <c r="J11" s="74">
        <v>0.91666666666666696</v>
      </c>
      <c r="K11" s="56">
        <f t="shared" si="5"/>
        <v>0.16666666666666699</v>
      </c>
      <c r="L11" s="17">
        <f t="shared" si="6"/>
        <v>0.33333333333333298</v>
      </c>
      <c r="M11" s="21"/>
    </row>
    <row r="12" spans="1:13" s="70" customFormat="1">
      <c r="A12" s="32" t="s">
        <v>51</v>
      </c>
      <c r="B12" s="156" t="s">
        <v>52</v>
      </c>
      <c r="C12" s="56"/>
      <c r="D12" s="56"/>
      <c r="E12" s="56">
        <f t="shared" si="3"/>
        <v>0</v>
      </c>
      <c r="F12" s="56">
        <v>0.58333333333333304</v>
      </c>
      <c r="G12" s="56">
        <v>0.75</v>
      </c>
      <c r="H12" s="54">
        <f t="shared" si="4"/>
        <v>0.16666666666666699</v>
      </c>
      <c r="I12" s="74">
        <v>0.75</v>
      </c>
      <c r="J12" s="74">
        <v>0.91666666666666696</v>
      </c>
      <c r="K12" s="56">
        <f t="shared" si="5"/>
        <v>0.16666666666666699</v>
      </c>
      <c r="L12" s="17">
        <f t="shared" si="6"/>
        <v>0.33333333333333298</v>
      </c>
      <c r="M12" s="21"/>
    </row>
    <row r="13" spans="1:13" s="70" customFormat="1">
      <c r="A13" s="32" t="s">
        <v>53</v>
      </c>
      <c r="B13" s="75" t="s">
        <v>54</v>
      </c>
      <c r="C13" s="74">
        <v>0.25</v>
      </c>
      <c r="D13" s="56">
        <v>0.5</v>
      </c>
      <c r="E13" s="56">
        <f t="shared" si="3"/>
        <v>0.25</v>
      </c>
      <c r="F13" s="56">
        <v>0.5</v>
      </c>
      <c r="G13" s="74">
        <v>0.58333333333333304</v>
      </c>
      <c r="H13" s="54">
        <f t="shared" si="4"/>
        <v>8.3333333333333398E-2</v>
      </c>
      <c r="I13" s="56"/>
      <c r="J13" s="56"/>
      <c r="K13" s="56">
        <f t="shared" si="5"/>
        <v>0</v>
      </c>
      <c r="L13" s="17">
        <f t="shared" si="6"/>
        <v>0.33333333333333298</v>
      </c>
      <c r="M13" s="21"/>
    </row>
    <row r="14" spans="1:13" s="70" customFormat="1">
      <c r="A14" s="117" t="s">
        <v>55</v>
      </c>
      <c r="B14" s="156" t="s">
        <v>56</v>
      </c>
      <c r="C14" s="74">
        <v>0.25</v>
      </c>
      <c r="D14" s="56">
        <v>0.5</v>
      </c>
      <c r="E14" s="56">
        <f t="shared" ref="E14:E16" si="7">IF(D14&gt;C14,D14-C14,C14-D14)</f>
        <v>0.25</v>
      </c>
      <c r="F14" s="56">
        <v>0.5</v>
      </c>
      <c r="G14" s="74">
        <v>0.58333333333333304</v>
      </c>
      <c r="H14" s="54">
        <f t="shared" ref="H14:H16" si="8">IF(G14&gt;F14,G14-F14,F14-G14)</f>
        <v>8.3333333333333398E-2</v>
      </c>
      <c r="I14" s="56"/>
      <c r="J14" s="56"/>
      <c r="K14" s="56">
        <f t="shared" ref="K14:K16" si="9">IF(J14&gt;I14,J14-I14,I14-J14)</f>
        <v>0</v>
      </c>
      <c r="L14" s="17">
        <f t="shared" ref="L14:L16" si="10">E14+H14+K14</f>
        <v>0.33333333333333298</v>
      </c>
      <c r="M14" s="21"/>
    </row>
    <row r="15" spans="1:13" s="70" customFormat="1">
      <c r="A15" s="32" t="s">
        <v>30</v>
      </c>
      <c r="B15" s="156" t="s">
        <v>57</v>
      </c>
      <c r="C15" s="41"/>
      <c r="D15" s="41"/>
      <c r="E15" s="41">
        <f t="shared" si="7"/>
        <v>0</v>
      </c>
      <c r="F15" s="41"/>
      <c r="G15" s="41"/>
      <c r="H15" s="40">
        <f t="shared" si="8"/>
        <v>0</v>
      </c>
      <c r="I15" s="41"/>
      <c r="J15" s="41"/>
      <c r="K15" s="41">
        <f t="shared" si="9"/>
        <v>0</v>
      </c>
      <c r="L15" s="83">
        <f t="shared" si="10"/>
        <v>0</v>
      </c>
      <c r="M15" s="71" t="s">
        <v>25</v>
      </c>
    </row>
    <row r="16" spans="1:13" s="70" customFormat="1">
      <c r="A16" s="32" t="s">
        <v>30</v>
      </c>
      <c r="B16" s="75" t="s">
        <v>58</v>
      </c>
      <c r="C16" s="41"/>
      <c r="D16" s="41"/>
      <c r="E16" s="41">
        <f t="shared" si="7"/>
        <v>0</v>
      </c>
      <c r="F16" s="41"/>
      <c r="G16" s="41"/>
      <c r="H16" s="40">
        <f t="shared" si="8"/>
        <v>0</v>
      </c>
      <c r="I16" s="41"/>
      <c r="J16" s="41"/>
      <c r="K16" s="41">
        <f t="shared" si="9"/>
        <v>0</v>
      </c>
      <c r="L16" s="83">
        <f t="shared" si="10"/>
        <v>0</v>
      </c>
      <c r="M16" s="71" t="s">
        <v>25</v>
      </c>
    </row>
    <row r="17" spans="1:13" s="70" customFormat="1">
      <c r="A17"/>
      <c r="B17" s="13"/>
      <c r="C17" s="77"/>
      <c r="D17" s="77"/>
      <c r="E17" s="78">
        <f>SUM(E8:E16)</f>
        <v>0.91666666666666696</v>
      </c>
      <c r="F17" s="78"/>
      <c r="G17" s="78"/>
      <c r="H17" s="78">
        <f>SUM(H8:H16)</f>
        <v>0.91666666666666696</v>
      </c>
      <c r="I17" s="78"/>
      <c r="J17" s="78"/>
      <c r="K17" s="78">
        <f>SUM(K8:K16)</f>
        <v>0.66666666666666696</v>
      </c>
      <c r="L17" s="78">
        <f>SUM(L8:L16)</f>
        <v>2.5</v>
      </c>
      <c r="M17" s="23"/>
    </row>
    <row r="19" spans="1:13">
      <c r="C19" s="2" t="s">
        <v>42</v>
      </c>
      <c r="G19" s="5" t="s">
        <v>32</v>
      </c>
      <c r="H19" s="6">
        <f>+H5+1</f>
        <v>46245</v>
      </c>
    </row>
    <row r="20" spans="1:13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3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  <c r="M21" s="153"/>
    </row>
    <row r="22" spans="1:13" s="70" customFormat="1">
      <c r="A22" s="32" t="s">
        <v>43</v>
      </c>
      <c r="B22" s="156" t="s">
        <v>44</v>
      </c>
      <c r="C22" s="41"/>
      <c r="D22" s="41"/>
      <c r="E22" s="41">
        <f>IF(D22&gt;C22,D22-C22,C22-D22)</f>
        <v>0</v>
      </c>
      <c r="F22" s="41"/>
      <c r="G22" s="41"/>
      <c r="H22" s="40">
        <f>IF(G22&gt;F22,G22-F22,F22-G22)</f>
        <v>0</v>
      </c>
      <c r="I22" s="41"/>
      <c r="J22" s="41"/>
      <c r="K22" s="41">
        <f>IF(J22&gt;I22,J22-I22,I22-J22)</f>
        <v>0</v>
      </c>
      <c r="L22" s="83">
        <f>E22+H22+K22</f>
        <v>0</v>
      </c>
      <c r="M22" s="71" t="s">
        <v>25</v>
      </c>
    </row>
    <row r="23" spans="1:13" s="70" customFormat="1">
      <c r="A23" s="32" t="s">
        <v>45</v>
      </c>
      <c r="B23" s="75" t="s">
        <v>46</v>
      </c>
      <c r="C23" s="56"/>
      <c r="D23" s="56"/>
      <c r="E23" s="56">
        <f t="shared" ref="E23" si="11">IF(D23&gt;C23,D23-C23,C23-D23)</f>
        <v>0</v>
      </c>
      <c r="F23" s="56">
        <v>0.58333333333333304</v>
      </c>
      <c r="G23" s="56">
        <v>0.75</v>
      </c>
      <c r="H23" s="54">
        <f t="shared" ref="H23" si="12">IF(G23&gt;F23,G23-F23,F23-G23)</f>
        <v>0.16666666666666699</v>
      </c>
      <c r="I23" s="74">
        <v>0.75</v>
      </c>
      <c r="J23" s="74">
        <v>0.91666666666666696</v>
      </c>
      <c r="K23" s="56">
        <f t="shared" ref="K23" si="13">IF(J23&gt;I23,J23-I23,I23-J23)</f>
        <v>0.16666666666666699</v>
      </c>
      <c r="L23" s="17">
        <f t="shared" ref="L23" si="14">E23+H23+K23</f>
        <v>0.33333333333333298</v>
      </c>
      <c r="M23" s="21"/>
    </row>
    <row r="24" spans="1:13" s="70" customFormat="1">
      <c r="A24" t="s">
        <v>47</v>
      </c>
      <c r="B24" s="10" t="s">
        <v>48</v>
      </c>
      <c r="C24" s="74">
        <v>0.25</v>
      </c>
      <c r="D24" s="56">
        <v>0.5</v>
      </c>
      <c r="E24" s="56">
        <f t="shared" ref="E24:E25" si="15">IF(D24&gt;C24,D24-C24,C24-D24)</f>
        <v>0.25</v>
      </c>
      <c r="F24" s="56">
        <v>0.5</v>
      </c>
      <c r="G24" s="74">
        <v>0.58333333333333304</v>
      </c>
      <c r="H24" s="54">
        <f t="shared" ref="H24:H25" si="16">IF(G24&gt;F24,G24-F24,F24-G24)</f>
        <v>8.3333333333333398E-2</v>
      </c>
      <c r="I24" s="56"/>
      <c r="J24" s="56"/>
      <c r="K24" s="56">
        <f t="shared" ref="K24:K25" si="17">IF(J24&gt;I24,J24-I24,I24-J24)</f>
        <v>0</v>
      </c>
      <c r="L24" s="17">
        <f t="shared" ref="L24:L25" si="18">E24+H24+K24</f>
        <v>0.33333333333333298</v>
      </c>
      <c r="M24" s="21" t="s">
        <v>59</v>
      </c>
    </row>
    <row r="25" spans="1:13" s="70" customFormat="1">
      <c r="A25" s="32" t="s">
        <v>49</v>
      </c>
      <c r="B25" s="75" t="s">
        <v>50</v>
      </c>
      <c r="C25" s="56"/>
      <c r="D25" s="56"/>
      <c r="E25" s="56">
        <f t="shared" si="15"/>
        <v>0</v>
      </c>
      <c r="F25" s="56">
        <v>0.58333333333333304</v>
      </c>
      <c r="G25" s="56">
        <v>0.75</v>
      </c>
      <c r="H25" s="54">
        <f t="shared" si="16"/>
        <v>0.16666666666666699</v>
      </c>
      <c r="I25" s="74">
        <v>0.75</v>
      </c>
      <c r="J25" s="74">
        <v>0.91666666666666696</v>
      </c>
      <c r="K25" s="56">
        <f t="shared" si="17"/>
        <v>0.16666666666666699</v>
      </c>
      <c r="L25" s="17">
        <f t="shared" si="18"/>
        <v>0.33333333333333298</v>
      </c>
      <c r="M25" s="21" t="s">
        <v>59</v>
      </c>
    </row>
    <row r="26" spans="1:13" s="70" customFormat="1">
      <c r="A26" s="32" t="s">
        <v>51</v>
      </c>
      <c r="B26" s="156" t="s">
        <v>52</v>
      </c>
      <c r="C26" s="56"/>
      <c r="D26" s="56"/>
      <c r="E26" s="56">
        <f t="shared" ref="E26:E27" si="19">IF(D26&gt;C26,D26-C26,C26-D26)</f>
        <v>0</v>
      </c>
      <c r="F26" s="56">
        <v>0.58333333333333304</v>
      </c>
      <c r="G26" s="56">
        <v>0.75</v>
      </c>
      <c r="H26" s="54">
        <f t="shared" ref="H26:H27" si="20">IF(G26&gt;F26,G26-F26,F26-G26)</f>
        <v>0.16666666666666699</v>
      </c>
      <c r="I26" s="74">
        <v>0.75</v>
      </c>
      <c r="J26" s="74">
        <v>0.91666666666666696</v>
      </c>
      <c r="K26" s="56">
        <f t="shared" ref="K26:K27" si="21">IF(J26&gt;I26,J26-I26,I26-J26)</f>
        <v>0.16666666666666699</v>
      </c>
      <c r="L26" s="17">
        <f t="shared" ref="L26:L27" si="22">E26+H26+K26</f>
        <v>0.33333333333333298</v>
      </c>
      <c r="M26" s="21"/>
    </row>
    <row r="27" spans="1:13" s="70" customFormat="1">
      <c r="A27" s="32" t="s">
        <v>53</v>
      </c>
      <c r="B27" s="75" t="s">
        <v>54</v>
      </c>
      <c r="C27" s="74">
        <v>0.25</v>
      </c>
      <c r="D27" s="56">
        <v>0.5</v>
      </c>
      <c r="E27" s="56">
        <f t="shared" si="19"/>
        <v>0.25</v>
      </c>
      <c r="F27" s="56">
        <v>0.5</v>
      </c>
      <c r="G27" s="74">
        <v>0.58333333333333304</v>
      </c>
      <c r="H27" s="54">
        <f t="shared" si="20"/>
        <v>8.3333333333333398E-2</v>
      </c>
      <c r="I27" s="56"/>
      <c r="J27" s="56"/>
      <c r="K27" s="56">
        <f t="shared" si="21"/>
        <v>0</v>
      </c>
      <c r="L27" s="17">
        <f t="shared" si="22"/>
        <v>0.33333333333333298</v>
      </c>
      <c r="M27" s="21" t="s">
        <v>59</v>
      </c>
    </row>
    <row r="28" spans="1:13" s="70" customFormat="1">
      <c r="A28" s="117" t="s">
        <v>55</v>
      </c>
      <c r="B28" s="156" t="s">
        <v>56</v>
      </c>
      <c r="C28" s="74">
        <v>0.25</v>
      </c>
      <c r="D28" s="56">
        <v>0.5</v>
      </c>
      <c r="E28" s="56">
        <f t="shared" ref="E28:E30" si="23">IF(D28&gt;C28,D28-C28,C28-D28)</f>
        <v>0.25</v>
      </c>
      <c r="F28" s="56">
        <v>0.5</v>
      </c>
      <c r="G28" s="74">
        <v>0.58333333333333304</v>
      </c>
      <c r="H28" s="54">
        <f t="shared" ref="H28:H30" si="24">IF(G28&gt;F28,G28-F28,F28-G28)</f>
        <v>8.3333333333333398E-2</v>
      </c>
      <c r="I28" s="56"/>
      <c r="J28" s="56"/>
      <c r="K28" s="56">
        <f t="shared" ref="K28:K30" si="25">IF(J28&gt;I28,J28-I28,I28-J28)</f>
        <v>0</v>
      </c>
      <c r="L28" s="17">
        <f t="shared" ref="L28:L30" si="26">E28+H28+K28</f>
        <v>0.33333333333333298</v>
      </c>
      <c r="M28" s="21" t="s">
        <v>59</v>
      </c>
    </row>
    <row r="29" spans="1:13" s="70" customFormat="1">
      <c r="A29" s="32" t="s">
        <v>30</v>
      </c>
      <c r="B29" s="155" t="s">
        <v>57</v>
      </c>
      <c r="C29" s="74">
        <v>0.25</v>
      </c>
      <c r="D29" s="56">
        <v>0.5</v>
      </c>
      <c r="E29" s="56">
        <f t="shared" si="23"/>
        <v>0.25</v>
      </c>
      <c r="F29" s="56">
        <v>0.5</v>
      </c>
      <c r="G29" s="74">
        <v>0.58333333333333304</v>
      </c>
      <c r="H29" s="54">
        <f t="shared" si="24"/>
        <v>8.3333333333333398E-2</v>
      </c>
      <c r="I29" s="56"/>
      <c r="J29" s="56"/>
      <c r="K29" s="56">
        <f t="shared" si="25"/>
        <v>0</v>
      </c>
      <c r="L29" s="17">
        <f t="shared" si="26"/>
        <v>0.33333333333333298</v>
      </c>
      <c r="M29" s="21" t="s">
        <v>59</v>
      </c>
    </row>
    <row r="30" spans="1:13" s="70" customFormat="1">
      <c r="A30" s="32" t="s">
        <v>30</v>
      </c>
      <c r="B30" s="13" t="s">
        <v>58</v>
      </c>
      <c r="C30" s="56"/>
      <c r="D30" s="56"/>
      <c r="E30" s="56">
        <f t="shared" si="23"/>
        <v>0</v>
      </c>
      <c r="F30" s="56">
        <v>0.58333333333333304</v>
      </c>
      <c r="G30" s="56">
        <v>0.75</v>
      </c>
      <c r="H30" s="54">
        <f t="shared" si="24"/>
        <v>0.16666666666666699</v>
      </c>
      <c r="I30" s="74">
        <v>0.75</v>
      </c>
      <c r="J30" s="74">
        <v>0.91666666666666696</v>
      </c>
      <c r="K30" s="56">
        <f t="shared" si="25"/>
        <v>0.16666666666666699</v>
      </c>
      <c r="L30" s="17">
        <f t="shared" si="26"/>
        <v>0.33333333333333298</v>
      </c>
      <c r="M30" s="21" t="s">
        <v>59</v>
      </c>
    </row>
    <row r="31" spans="1:13" s="70" customFormat="1">
      <c r="A31"/>
      <c r="B31" s="13"/>
      <c r="C31" s="77"/>
      <c r="D31" s="77"/>
      <c r="E31" s="78">
        <f>SUM(E22:E30)</f>
        <v>1</v>
      </c>
      <c r="F31" s="78"/>
      <c r="G31" s="78"/>
      <c r="H31" s="78">
        <f>SUM(H22:H30)</f>
        <v>1</v>
      </c>
      <c r="I31" s="78"/>
      <c r="J31" s="78"/>
      <c r="K31" s="78">
        <f>SUM(K22:K30)</f>
        <v>0.66666666666666696</v>
      </c>
      <c r="L31" s="78">
        <f>SUM(L22:L30)</f>
        <v>2.6666666666666701</v>
      </c>
      <c r="M31" s="23"/>
    </row>
    <row r="32" spans="1:13" s="70" customFormat="1">
      <c r="A32"/>
      <c r="B32" s="13"/>
      <c r="C32" s="77"/>
      <c r="D32" s="77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C33" s="2" t="s">
        <v>42</v>
      </c>
      <c r="G33" s="5" t="s">
        <v>34</v>
      </c>
      <c r="H33" s="6">
        <f>+H19+1</f>
        <v>46246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  <c r="M35" s="153"/>
    </row>
    <row r="36" spans="1:13" s="70" customFormat="1">
      <c r="A36" s="32" t="s">
        <v>43</v>
      </c>
      <c r="B36" s="75" t="s">
        <v>44</v>
      </c>
      <c r="C36" s="56"/>
      <c r="D36" s="56"/>
      <c r="E36" s="56">
        <f>IF(D36&gt;C36,D36-C36,C36-D36)</f>
        <v>0</v>
      </c>
      <c r="F36" s="56">
        <v>0.58333333333333304</v>
      </c>
      <c r="G36" s="56">
        <v>0.75</v>
      </c>
      <c r="H36" s="54">
        <f>IF(G36&gt;F36,G36-F36,F36-G36)</f>
        <v>0.16666666666666699</v>
      </c>
      <c r="I36" s="74">
        <v>0.75</v>
      </c>
      <c r="J36" s="74">
        <v>0.91666666666666696</v>
      </c>
      <c r="K36" s="56">
        <f>IF(J36&gt;I36,J36-I36,I36-J36)</f>
        <v>0.16666666666666699</v>
      </c>
      <c r="L36" s="17">
        <f>E36+H36+K36</f>
        <v>0.33333333333333298</v>
      </c>
      <c r="M36" s="21"/>
    </row>
    <row r="37" spans="1:13" s="70" customFormat="1">
      <c r="A37" s="32" t="s">
        <v>45</v>
      </c>
      <c r="B37" s="156" t="s">
        <v>46</v>
      </c>
      <c r="C37" s="41"/>
      <c r="D37" s="41"/>
      <c r="E37" s="41">
        <f>IF(D37&gt;C37,D37-C37,C37-D37)</f>
        <v>0</v>
      </c>
      <c r="F37" s="41"/>
      <c r="G37" s="41"/>
      <c r="H37" s="40">
        <f>IF(G37&gt;F37,G37-F37,F37-G37)</f>
        <v>0</v>
      </c>
      <c r="I37" s="41"/>
      <c r="J37" s="41"/>
      <c r="K37" s="41">
        <f>IF(J37&gt;I37,J37-I37,I37-J37)</f>
        <v>0</v>
      </c>
      <c r="L37" s="83">
        <f>E37+H37+K37</f>
        <v>0</v>
      </c>
      <c r="M37" s="71" t="s">
        <v>25</v>
      </c>
    </row>
    <row r="38" spans="1:13" s="70" customFormat="1">
      <c r="A38" t="s">
        <v>47</v>
      </c>
      <c r="B38" s="10" t="s">
        <v>48</v>
      </c>
      <c r="C38" s="74">
        <v>0.25</v>
      </c>
      <c r="D38" s="56">
        <v>0.5</v>
      </c>
      <c r="E38" s="56">
        <f t="shared" ref="E38:E39" si="27">IF(D38&gt;C38,D38-C38,C38-D38)</f>
        <v>0.25</v>
      </c>
      <c r="F38" s="56">
        <v>0.5</v>
      </c>
      <c r="G38" s="74">
        <v>0.58333333333333304</v>
      </c>
      <c r="H38" s="54">
        <f t="shared" ref="H38:H39" si="28">IF(G38&gt;F38,G38-F38,F38-G38)</f>
        <v>8.3333333333333398E-2</v>
      </c>
      <c r="I38" s="56"/>
      <c r="J38" s="56"/>
      <c r="K38" s="56">
        <f t="shared" ref="K38:K39" si="29">IF(J38&gt;I38,J38-I38,I38-J38)</f>
        <v>0</v>
      </c>
      <c r="L38" s="17">
        <f t="shared" ref="L38:L39" si="30">E38+H38+K38</f>
        <v>0.33333333333333298</v>
      </c>
      <c r="M38" s="21"/>
    </row>
    <row r="39" spans="1:13" s="70" customFormat="1">
      <c r="A39" s="32" t="s">
        <v>49</v>
      </c>
      <c r="B39" s="75" t="s">
        <v>50</v>
      </c>
      <c r="C39" s="56"/>
      <c r="D39" s="56"/>
      <c r="E39" s="56">
        <f t="shared" si="27"/>
        <v>0</v>
      </c>
      <c r="F39" s="56">
        <v>0.58333333333333304</v>
      </c>
      <c r="G39" s="56">
        <v>0.75</v>
      </c>
      <c r="H39" s="54">
        <f t="shared" si="28"/>
        <v>0.16666666666666699</v>
      </c>
      <c r="I39" s="74">
        <v>0.75</v>
      </c>
      <c r="J39" s="74">
        <v>0.91666666666666696</v>
      </c>
      <c r="K39" s="56">
        <f t="shared" si="29"/>
        <v>0.16666666666666699</v>
      </c>
      <c r="L39" s="17">
        <f t="shared" si="30"/>
        <v>0.33333333333333298</v>
      </c>
      <c r="M39" s="21"/>
    </row>
    <row r="40" spans="1:13" s="70" customFormat="1">
      <c r="A40" s="32" t="s">
        <v>51</v>
      </c>
      <c r="B40" s="156" t="s">
        <v>52</v>
      </c>
      <c r="C40" s="56"/>
      <c r="D40" s="56"/>
      <c r="E40" s="56">
        <f t="shared" ref="E40:E41" si="31">IF(D40&gt;C40,D40-C40,C40-D40)</f>
        <v>0</v>
      </c>
      <c r="F40" s="56">
        <v>0.58333333333333304</v>
      </c>
      <c r="G40" s="56">
        <v>0.75</v>
      </c>
      <c r="H40" s="54">
        <f t="shared" ref="H40:H41" si="32">IF(G40&gt;F40,G40-F40,F40-G40)</f>
        <v>0.16666666666666699</v>
      </c>
      <c r="I40" s="74">
        <v>0.75</v>
      </c>
      <c r="J40" s="74">
        <v>0.91666666666666696</v>
      </c>
      <c r="K40" s="56">
        <f t="shared" ref="K40:K41" si="33">IF(J40&gt;I40,J40-I40,I40-J40)</f>
        <v>0.16666666666666699</v>
      </c>
      <c r="L40" s="17">
        <f t="shared" ref="L40:L41" si="34">E40+H40+K40</f>
        <v>0.33333333333333298</v>
      </c>
      <c r="M40" s="21"/>
    </row>
    <row r="41" spans="1:13" s="70" customFormat="1">
      <c r="A41" s="32" t="s">
        <v>53</v>
      </c>
      <c r="B41" s="75" t="s">
        <v>54</v>
      </c>
      <c r="C41" s="74">
        <v>0.25</v>
      </c>
      <c r="D41" s="56">
        <v>0.5</v>
      </c>
      <c r="E41" s="56">
        <f t="shared" si="31"/>
        <v>0.25</v>
      </c>
      <c r="F41" s="56">
        <v>0.5</v>
      </c>
      <c r="G41" s="74">
        <v>0.58333333333333304</v>
      </c>
      <c r="H41" s="54">
        <f t="shared" si="32"/>
        <v>8.3333333333333398E-2</v>
      </c>
      <c r="I41" s="56"/>
      <c r="J41" s="56"/>
      <c r="K41" s="56">
        <f t="shared" si="33"/>
        <v>0</v>
      </c>
      <c r="L41" s="17">
        <f t="shared" si="34"/>
        <v>0.33333333333333298</v>
      </c>
      <c r="M41" s="21"/>
    </row>
    <row r="42" spans="1:13" s="70" customFormat="1">
      <c r="A42" s="117" t="s">
        <v>55</v>
      </c>
      <c r="B42" s="156" t="s">
        <v>56</v>
      </c>
      <c r="C42" s="74">
        <v>0.25</v>
      </c>
      <c r="D42" s="56">
        <v>0.5</v>
      </c>
      <c r="E42" s="56">
        <f t="shared" ref="E42:E44" si="35">IF(D42&gt;C42,D42-C42,C42-D42)</f>
        <v>0.25</v>
      </c>
      <c r="F42" s="56">
        <v>0.5</v>
      </c>
      <c r="G42" s="74">
        <v>0.58333333333333304</v>
      </c>
      <c r="H42" s="54">
        <f t="shared" ref="H42:H44" si="36">IF(G42&gt;F42,G42-F42,F42-G42)</f>
        <v>8.3333333333333398E-2</v>
      </c>
      <c r="I42" s="56"/>
      <c r="J42" s="56"/>
      <c r="K42" s="56">
        <f t="shared" ref="K42:K44" si="37">IF(J42&gt;I42,J42-I42,I42-J42)</f>
        <v>0</v>
      </c>
      <c r="L42" s="17">
        <f t="shared" ref="L42:L44" si="38">E42+H42+K42</f>
        <v>0.33333333333333298</v>
      </c>
      <c r="M42" s="21"/>
    </row>
    <row r="43" spans="1:13" s="70" customFormat="1">
      <c r="A43" s="32" t="s">
        <v>30</v>
      </c>
      <c r="B43" s="10" t="s">
        <v>57</v>
      </c>
      <c r="C43" s="74">
        <v>0.25</v>
      </c>
      <c r="D43" s="56">
        <v>0.5</v>
      </c>
      <c r="E43" s="56">
        <f t="shared" si="35"/>
        <v>0.25</v>
      </c>
      <c r="F43" s="56">
        <v>0.5</v>
      </c>
      <c r="G43" s="74">
        <v>0.58333333333333304</v>
      </c>
      <c r="H43" s="54">
        <f t="shared" si="36"/>
        <v>8.3333333333333398E-2</v>
      </c>
      <c r="I43" s="56"/>
      <c r="J43" s="56"/>
      <c r="K43" s="56">
        <f t="shared" si="37"/>
        <v>0</v>
      </c>
      <c r="L43" s="17">
        <f t="shared" si="38"/>
        <v>0.33333333333333298</v>
      </c>
      <c r="M43" s="21"/>
    </row>
    <row r="44" spans="1:13" s="70" customFormat="1">
      <c r="A44" s="32" t="s">
        <v>30</v>
      </c>
      <c r="B44" s="155" t="s">
        <v>58</v>
      </c>
      <c r="C44" s="56"/>
      <c r="D44" s="56"/>
      <c r="E44" s="56">
        <f t="shared" si="35"/>
        <v>0</v>
      </c>
      <c r="F44" s="56">
        <v>0.58333333333333304</v>
      </c>
      <c r="G44" s="56">
        <v>0.75</v>
      </c>
      <c r="H44" s="54">
        <f t="shared" si="36"/>
        <v>0.16666666666666699</v>
      </c>
      <c r="I44" s="74">
        <v>0.75</v>
      </c>
      <c r="J44" s="74">
        <v>0.91666666666666696</v>
      </c>
      <c r="K44" s="56">
        <f t="shared" si="37"/>
        <v>0.16666666666666699</v>
      </c>
      <c r="L44" s="17">
        <f t="shared" si="38"/>
        <v>0.33333333333333298</v>
      </c>
      <c r="M44" s="21"/>
    </row>
    <row r="45" spans="1:13" s="70" customFormat="1">
      <c r="A45"/>
      <c r="B45" s="13"/>
      <c r="C45" s="77"/>
      <c r="D45" s="77"/>
      <c r="E45" s="78">
        <f>SUM(E36:E44)</f>
        <v>1</v>
      </c>
      <c r="F45" s="78"/>
      <c r="G45" s="78"/>
      <c r="H45" s="78">
        <f>SUM(H36:H44)</f>
        <v>1</v>
      </c>
      <c r="I45" s="78"/>
      <c r="J45" s="78"/>
      <c r="K45" s="78">
        <f>SUM(K36:K44)</f>
        <v>0.66666666666666696</v>
      </c>
      <c r="L45" s="78">
        <f>SUM(L36:L44)</f>
        <v>2.6666666666666701</v>
      </c>
      <c r="M45" s="23"/>
    </row>
    <row r="46" spans="1:13">
      <c r="B46" s="70"/>
    </row>
    <row r="47" spans="1:13">
      <c r="C47" s="2" t="s">
        <v>42</v>
      </c>
      <c r="G47" s="5" t="s">
        <v>35</v>
      </c>
      <c r="H47" s="6">
        <f>+H33+1</f>
        <v>46247</v>
      </c>
    </row>
    <row r="48" spans="1:13">
      <c r="C48" s="168" t="s">
        <v>3</v>
      </c>
      <c r="D48" s="168"/>
      <c r="E48" s="168"/>
      <c r="F48" s="169" t="s">
        <v>4</v>
      </c>
      <c r="G48" s="169"/>
      <c r="H48" s="169"/>
      <c r="I48" s="170" t="s">
        <v>5</v>
      </c>
      <c r="J48" s="170"/>
      <c r="K48" s="170"/>
    </row>
    <row r="49" spans="1:13" ht="17.25" customHeight="1">
      <c r="B49" s="7" t="s">
        <v>6</v>
      </c>
      <c r="C49" s="8" t="s">
        <v>7</v>
      </c>
      <c r="D49" s="8" t="s">
        <v>8</v>
      </c>
      <c r="E49" s="8" t="s">
        <v>9</v>
      </c>
      <c r="F49" s="9" t="s">
        <v>7</v>
      </c>
      <c r="G49" s="9" t="s">
        <v>8</v>
      </c>
      <c r="H49" s="9" t="s">
        <v>9</v>
      </c>
      <c r="I49" s="16" t="s">
        <v>7</v>
      </c>
      <c r="J49" s="16" t="s">
        <v>8</v>
      </c>
      <c r="K49" s="16" t="s">
        <v>9</v>
      </c>
      <c r="L49" s="7" t="s">
        <v>10</v>
      </c>
      <c r="M49" s="153"/>
    </row>
    <row r="50" spans="1:13" s="70" customFormat="1">
      <c r="A50" s="32" t="s">
        <v>43</v>
      </c>
      <c r="B50" s="75" t="s">
        <v>44</v>
      </c>
      <c r="C50" s="56"/>
      <c r="D50" s="56"/>
      <c r="E50" s="56">
        <f>IF(D50&gt;C50,D50-C50,C50-D50)</f>
        <v>0</v>
      </c>
      <c r="F50" s="56">
        <v>0.58333333333333304</v>
      </c>
      <c r="G50" s="56">
        <v>0.75</v>
      </c>
      <c r="H50" s="54">
        <f>IF(G50&gt;F50,G50-F50,F50-G50)</f>
        <v>0.16666666666666699</v>
      </c>
      <c r="I50" s="74">
        <v>0.75</v>
      </c>
      <c r="J50" s="74">
        <v>0.91666666666666696</v>
      </c>
      <c r="K50" s="56">
        <f>IF(J50&gt;I50,J50-I50,I50-J50)</f>
        <v>0.16666666666666699</v>
      </c>
      <c r="L50" s="17">
        <f>E50+H50+K50</f>
        <v>0.33333333333333298</v>
      </c>
      <c r="M50" s="21"/>
    </row>
    <row r="51" spans="1:13" s="70" customFormat="1">
      <c r="A51" s="32" t="s">
        <v>45</v>
      </c>
      <c r="B51" s="156" t="s">
        <v>46</v>
      </c>
      <c r="C51" s="74">
        <v>0.25</v>
      </c>
      <c r="D51" s="56">
        <v>0.5</v>
      </c>
      <c r="E51" s="56">
        <f t="shared" ref="E51:E53" si="39">IF(D51&gt;C51,D51-C51,C51-D51)</f>
        <v>0.25</v>
      </c>
      <c r="F51" s="56">
        <v>0.5</v>
      </c>
      <c r="G51" s="74">
        <v>0.58333333333333304</v>
      </c>
      <c r="H51" s="54">
        <f t="shared" ref="H51:H53" si="40">IF(G51&gt;F51,G51-F51,F51-G51)</f>
        <v>8.3333333333333398E-2</v>
      </c>
      <c r="I51" s="56"/>
      <c r="J51" s="56"/>
      <c r="K51" s="56">
        <f t="shared" ref="K51:K53" si="41">IF(J51&gt;I51,J51-I51,I51-J51)</f>
        <v>0</v>
      </c>
      <c r="L51" s="17">
        <f t="shared" ref="L51:L53" si="42">E51+H51+K51</f>
        <v>0.33333333333333298</v>
      </c>
      <c r="M51" s="21" t="s">
        <v>59</v>
      </c>
    </row>
    <row r="52" spans="1:13" s="70" customFormat="1">
      <c r="A52" t="s">
        <v>47</v>
      </c>
      <c r="B52" s="10" t="s">
        <v>48</v>
      </c>
      <c r="C52" s="74">
        <v>0.25</v>
      </c>
      <c r="D52" s="56">
        <v>0.5</v>
      </c>
      <c r="E52" s="56">
        <f t="shared" si="39"/>
        <v>0.25</v>
      </c>
      <c r="F52" s="56">
        <v>0.5</v>
      </c>
      <c r="G52" s="74">
        <v>0.58333333333333304</v>
      </c>
      <c r="H52" s="54">
        <f t="shared" si="40"/>
        <v>8.3333333333333398E-2</v>
      </c>
      <c r="I52" s="56"/>
      <c r="J52" s="56"/>
      <c r="K52" s="56">
        <f t="shared" si="41"/>
        <v>0</v>
      </c>
      <c r="L52" s="17">
        <f t="shared" si="42"/>
        <v>0.33333333333333298</v>
      </c>
      <c r="M52" s="21" t="s">
        <v>59</v>
      </c>
    </row>
    <row r="53" spans="1:13" s="70" customFormat="1">
      <c r="A53" s="32" t="s">
        <v>49</v>
      </c>
      <c r="B53" s="157" t="s">
        <v>50</v>
      </c>
      <c r="C53" s="56"/>
      <c r="D53" s="56"/>
      <c r="E53" s="56">
        <f t="shared" si="39"/>
        <v>0</v>
      </c>
      <c r="F53" s="56">
        <v>0.58333333333333304</v>
      </c>
      <c r="G53" s="56">
        <v>0.75</v>
      </c>
      <c r="H53" s="54">
        <f t="shared" si="40"/>
        <v>0.16666666666666699</v>
      </c>
      <c r="I53" s="74">
        <v>0.75</v>
      </c>
      <c r="J53" s="74">
        <v>0.91666666666666696</v>
      </c>
      <c r="K53" s="56">
        <f t="shared" si="41"/>
        <v>0.16666666666666699</v>
      </c>
      <c r="L53" s="17">
        <f t="shared" si="42"/>
        <v>0.33333333333333298</v>
      </c>
      <c r="M53" s="21"/>
    </row>
    <row r="54" spans="1:13" s="70" customFormat="1">
      <c r="A54" s="32" t="s">
        <v>51</v>
      </c>
      <c r="B54" s="75" t="s">
        <v>52</v>
      </c>
      <c r="C54" s="74">
        <v>0.25</v>
      </c>
      <c r="D54" s="56">
        <v>0.5</v>
      </c>
      <c r="E54" s="56">
        <f t="shared" ref="E54:E55" si="43">IF(D54&gt;C54,D54-C54,C54-D54)</f>
        <v>0.25</v>
      </c>
      <c r="F54" s="56">
        <v>0.5</v>
      </c>
      <c r="G54" s="74">
        <v>0.58333333333333304</v>
      </c>
      <c r="H54" s="54">
        <f t="shared" ref="H54:H55" si="44">IF(G54&gt;F54,G54-F54,F54-G54)</f>
        <v>8.3333333333333398E-2</v>
      </c>
      <c r="I54" s="56"/>
      <c r="J54" s="56"/>
      <c r="K54" s="56">
        <f t="shared" ref="K54:K55" si="45">IF(J54&gt;I54,J54-I54,I54-J54)</f>
        <v>0</v>
      </c>
      <c r="L54" s="17">
        <f t="shared" ref="L54:L55" si="46">E54+H54+K54</f>
        <v>0.33333333333333298</v>
      </c>
      <c r="M54" s="21" t="s">
        <v>59</v>
      </c>
    </row>
    <row r="55" spans="1:13" s="70" customFormat="1">
      <c r="A55" s="32" t="s">
        <v>53</v>
      </c>
      <c r="B55" s="156" t="s">
        <v>54</v>
      </c>
      <c r="C55" s="56"/>
      <c r="D55" s="56"/>
      <c r="E55" s="56">
        <f t="shared" si="43"/>
        <v>0</v>
      </c>
      <c r="F55" s="56">
        <v>0.58333333333333304</v>
      </c>
      <c r="G55" s="56">
        <v>0.75</v>
      </c>
      <c r="H55" s="54">
        <f t="shared" si="44"/>
        <v>0.16666666666666699</v>
      </c>
      <c r="I55" s="74">
        <v>0.75</v>
      </c>
      <c r="J55" s="74">
        <v>0.91666666666666696</v>
      </c>
      <c r="K55" s="56">
        <f t="shared" si="45"/>
        <v>0.16666666666666699</v>
      </c>
      <c r="L55" s="17">
        <f t="shared" si="46"/>
        <v>0.33333333333333298</v>
      </c>
      <c r="M55" s="21"/>
    </row>
    <row r="56" spans="1:13" s="70" customFormat="1">
      <c r="A56" s="117" t="s">
        <v>55</v>
      </c>
      <c r="B56" s="10" t="s">
        <v>56</v>
      </c>
      <c r="C56" s="41"/>
      <c r="D56" s="41"/>
      <c r="E56" s="41">
        <f t="shared" ref="E56:E58" si="47">IF(D56&gt;C56,D56-C56,C56-D56)</f>
        <v>0</v>
      </c>
      <c r="F56" s="41"/>
      <c r="G56" s="41"/>
      <c r="H56" s="40">
        <f t="shared" ref="H56:H58" si="48">IF(G56&gt;F56,G56-F56,F56-G56)</f>
        <v>0</v>
      </c>
      <c r="I56" s="41"/>
      <c r="J56" s="41"/>
      <c r="K56" s="41">
        <f t="shared" ref="K56:K58" si="49">IF(J56&gt;I56,J56-I56,I56-J56)</f>
        <v>0</v>
      </c>
      <c r="L56" s="83">
        <f t="shared" ref="L56:L58" si="50">E56+H56+K56</f>
        <v>0</v>
      </c>
      <c r="M56" s="71" t="s">
        <v>25</v>
      </c>
    </row>
    <row r="57" spans="1:13" s="70" customFormat="1">
      <c r="A57" s="32" t="s">
        <v>30</v>
      </c>
      <c r="B57" s="156" t="s">
        <v>57</v>
      </c>
      <c r="C57" s="56"/>
      <c r="D57" s="56"/>
      <c r="E57" s="56">
        <f t="shared" si="47"/>
        <v>0</v>
      </c>
      <c r="F57" s="56">
        <v>0.58333333333333304</v>
      </c>
      <c r="G57" s="56">
        <v>0.75</v>
      </c>
      <c r="H57" s="54">
        <f t="shared" si="48"/>
        <v>0.16666666666666699</v>
      </c>
      <c r="I57" s="74">
        <v>0.75</v>
      </c>
      <c r="J57" s="74">
        <v>0.91666666666666696</v>
      </c>
      <c r="K57" s="56">
        <f t="shared" si="49"/>
        <v>0.16666666666666699</v>
      </c>
      <c r="L57" s="17">
        <f t="shared" si="50"/>
        <v>0.33333333333333298</v>
      </c>
      <c r="M57" s="21"/>
    </row>
    <row r="58" spans="1:13" s="70" customFormat="1">
      <c r="A58" s="32" t="s">
        <v>30</v>
      </c>
      <c r="B58" s="75" t="s">
        <v>58</v>
      </c>
      <c r="C58" s="56">
        <v>0.25</v>
      </c>
      <c r="D58" s="56">
        <v>0.41666666666666702</v>
      </c>
      <c r="E58" s="56">
        <f t="shared" si="47"/>
        <v>0.16666666666666699</v>
      </c>
      <c r="F58" s="56"/>
      <c r="G58" s="56"/>
      <c r="H58" s="54">
        <f t="shared" si="48"/>
        <v>0</v>
      </c>
      <c r="I58" s="74">
        <v>0.75</v>
      </c>
      <c r="J58" s="74">
        <v>0.91666666666666696</v>
      </c>
      <c r="K58" s="56">
        <f t="shared" si="49"/>
        <v>0.16666666666666699</v>
      </c>
      <c r="L58" s="17">
        <f t="shared" si="50"/>
        <v>0.33333333333333298</v>
      </c>
      <c r="M58" s="21"/>
    </row>
    <row r="59" spans="1:13" s="70" customFormat="1">
      <c r="A59"/>
      <c r="B59" s="13"/>
      <c r="C59" s="77"/>
      <c r="D59" s="77"/>
      <c r="E59" s="78">
        <f>SUM(E50:E58)</f>
        <v>0.91666666666666696</v>
      </c>
      <c r="F59" s="78"/>
      <c r="G59" s="78"/>
      <c r="H59" s="78">
        <f>SUM(H50:H58)</f>
        <v>0.91666666666666696</v>
      </c>
      <c r="I59" s="78"/>
      <c r="J59" s="78"/>
      <c r="K59" s="78">
        <f>SUM(K50:K58)</f>
        <v>0.83333333333333304</v>
      </c>
      <c r="L59" s="78">
        <f>SUM(L50:L58)</f>
        <v>2.6666666666666701</v>
      </c>
      <c r="M59" s="23"/>
    </row>
    <row r="60" spans="1:13" s="70" customFormat="1">
      <c r="A60"/>
      <c r="B60" s="13"/>
      <c r="C60" s="77"/>
      <c r="D60" s="77"/>
      <c r="E60" s="23"/>
      <c r="F60" s="23"/>
      <c r="G60" s="23"/>
      <c r="H60" s="23"/>
      <c r="I60" s="23"/>
      <c r="J60" s="23"/>
      <c r="K60" s="23"/>
      <c r="L60" s="23"/>
      <c r="M60" s="23"/>
    </row>
    <row r="61" spans="1:13" s="70" customFormat="1">
      <c r="A61"/>
      <c r="B61" s="13"/>
      <c r="C61" s="77"/>
      <c r="D61" s="77"/>
      <c r="E61" s="23"/>
      <c r="F61" s="23"/>
      <c r="G61" s="23"/>
      <c r="H61" s="23"/>
      <c r="I61" s="23"/>
      <c r="J61" s="23"/>
      <c r="K61" s="23"/>
      <c r="L61" s="23"/>
      <c r="M61" s="23"/>
    </row>
    <row r="62" spans="1:13">
      <c r="C62" s="2" t="s">
        <v>42</v>
      </c>
      <c r="G62" s="5" t="s">
        <v>36</v>
      </c>
      <c r="H62" s="6">
        <f>+H47+1</f>
        <v>46248</v>
      </c>
    </row>
    <row r="63" spans="1:13">
      <c r="C63" s="168" t="s">
        <v>3</v>
      </c>
      <c r="D63" s="168"/>
      <c r="E63" s="168"/>
      <c r="F63" s="169" t="s">
        <v>4</v>
      </c>
      <c r="G63" s="169"/>
      <c r="H63" s="169"/>
      <c r="I63" s="170" t="s">
        <v>5</v>
      </c>
      <c r="J63" s="170"/>
      <c r="K63" s="170"/>
    </row>
    <row r="64" spans="1:13">
      <c r="B64" s="7" t="s">
        <v>6</v>
      </c>
      <c r="C64" s="8" t="s">
        <v>7</v>
      </c>
      <c r="D64" s="8" t="s">
        <v>8</v>
      </c>
      <c r="E64" s="8" t="s">
        <v>9</v>
      </c>
      <c r="F64" s="9" t="s">
        <v>7</v>
      </c>
      <c r="G64" s="9" t="s">
        <v>8</v>
      </c>
      <c r="H64" s="9" t="s">
        <v>9</v>
      </c>
      <c r="I64" s="16" t="s">
        <v>7</v>
      </c>
      <c r="J64" s="16" t="s">
        <v>8</v>
      </c>
      <c r="K64" s="16" t="s">
        <v>9</v>
      </c>
      <c r="L64" s="7" t="s">
        <v>10</v>
      </c>
      <c r="M64" s="153"/>
    </row>
    <row r="65" spans="1:14" s="70" customFormat="1">
      <c r="A65" s="32" t="s">
        <v>43</v>
      </c>
      <c r="B65" s="10" t="s">
        <v>44</v>
      </c>
      <c r="C65" s="56"/>
      <c r="D65" s="56"/>
      <c r="E65" s="56">
        <f>IF(D65&gt;C65,D65-C65,C65-D65)</f>
        <v>0</v>
      </c>
      <c r="F65" s="56">
        <v>0.58333333333333304</v>
      </c>
      <c r="G65" s="56">
        <v>0.75</v>
      </c>
      <c r="H65" s="54">
        <f>IF(G65&gt;F65,G65-F65,F65-G65)</f>
        <v>0.16666666666666699</v>
      </c>
      <c r="I65" s="74">
        <v>0.75</v>
      </c>
      <c r="J65" s="74">
        <v>0.91666666666666696</v>
      </c>
      <c r="K65" s="56">
        <f>IF(J65&gt;I65,J65-I65,I65-J65)</f>
        <v>0.16666666666666699</v>
      </c>
      <c r="L65" s="17">
        <f>E65+H65+K65</f>
        <v>0.33333333333333298</v>
      </c>
      <c r="M65" s="21"/>
    </row>
    <row r="66" spans="1:14" s="70" customFormat="1">
      <c r="A66" s="32" t="s">
        <v>45</v>
      </c>
      <c r="B66" s="75" t="s">
        <v>46</v>
      </c>
      <c r="C66" s="74">
        <v>0.25</v>
      </c>
      <c r="D66" s="56">
        <v>0.5</v>
      </c>
      <c r="E66" s="56">
        <f t="shared" ref="E66:E67" si="51">IF(D66&gt;C66,D66-C66,C66-D66)</f>
        <v>0.25</v>
      </c>
      <c r="F66" s="56">
        <v>0.5</v>
      </c>
      <c r="G66" s="74">
        <v>0.58333333333333304</v>
      </c>
      <c r="H66" s="54">
        <f t="shared" ref="H66:H67" si="52">IF(G66&gt;F66,G66-F66,F66-G66)</f>
        <v>8.3333333333333398E-2</v>
      </c>
      <c r="I66" s="56"/>
      <c r="J66" s="56"/>
      <c r="K66" s="56">
        <f t="shared" ref="K66:K67" si="53">IF(J66&gt;I66,J66-I66,I66-J66)</f>
        <v>0</v>
      </c>
      <c r="L66" s="17">
        <f t="shared" ref="L66:L67" si="54">E66+H66+K66</f>
        <v>0.33333333333333298</v>
      </c>
      <c r="M66" s="21"/>
      <c r="N66" s="71"/>
    </row>
    <row r="67" spans="1:14" s="70" customFormat="1">
      <c r="A67" t="s">
        <v>47</v>
      </c>
      <c r="B67" s="10" t="s">
        <v>48</v>
      </c>
      <c r="C67" s="74">
        <v>0.25</v>
      </c>
      <c r="D67" s="56">
        <v>0.5</v>
      </c>
      <c r="E67" s="56">
        <f t="shared" si="51"/>
        <v>0.25</v>
      </c>
      <c r="F67" s="56">
        <v>0.5</v>
      </c>
      <c r="G67" s="74">
        <v>0.58333333333333304</v>
      </c>
      <c r="H67" s="54">
        <f t="shared" si="52"/>
        <v>8.3333333333333398E-2</v>
      </c>
      <c r="I67" s="56"/>
      <c r="J67" s="56"/>
      <c r="K67" s="56">
        <f t="shared" si="53"/>
        <v>0</v>
      </c>
      <c r="L67" s="17">
        <f t="shared" si="54"/>
        <v>0.33333333333333298</v>
      </c>
      <c r="M67" s="21"/>
    </row>
    <row r="68" spans="1:14" s="70" customFormat="1">
      <c r="A68" s="32" t="s">
        <v>49</v>
      </c>
      <c r="B68" s="156" t="s">
        <v>50</v>
      </c>
      <c r="C68" s="74">
        <v>0.25</v>
      </c>
      <c r="D68" s="56">
        <v>0.5</v>
      </c>
      <c r="E68" s="56">
        <f t="shared" ref="E68:E70" si="55">IF(D68&gt;C68,D68-C68,C68-D68)</f>
        <v>0.25</v>
      </c>
      <c r="F68" s="56">
        <v>0.5</v>
      </c>
      <c r="G68" s="74">
        <v>0.58333333333333304</v>
      </c>
      <c r="H68" s="54">
        <f t="shared" ref="H68:H70" si="56">IF(G68&gt;F68,G68-F68,F68-G68)</f>
        <v>8.3333333333333398E-2</v>
      </c>
      <c r="I68" s="56"/>
      <c r="J68" s="56"/>
      <c r="K68" s="56">
        <f t="shared" ref="K68:K71" si="57">IF(J68&gt;I68,J68-I68,I68-J68)</f>
        <v>0</v>
      </c>
      <c r="L68" s="17">
        <f t="shared" ref="L68:L70" si="58">E68+H68+K68</f>
        <v>0.33333333333333298</v>
      </c>
      <c r="M68" s="21"/>
    </row>
    <row r="69" spans="1:14" s="70" customFormat="1">
      <c r="A69" s="32" t="s">
        <v>51</v>
      </c>
      <c r="B69" s="75" t="s">
        <v>52</v>
      </c>
      <c r="C69" s="74">
        <v>0.25</v>
      </c>
      <c r="D69" s="56">
        <v>0.5</v>
      </c>
      <c r="E69" s="56">
        <f t="shared" si="55"/>
        <v>0.25</v>
      </c>
      <c r="F69" s="56">
        <v>0.5</v>
      </c>
      <c r="G69" s="74">
        <v>0.58333333333333304</v>
      </c>
      <c r="H69" s="54">
        <f t="shared" si="56"/>
        <v>8.3333333333333398E-2</v>
      </c>
      <c r="I69" s="56"/>
      <c r="J69" s="56"/>
      <c r="K69" s="56">
        <f t="shared" si="57"/>
        <v>0</v>
      </c>
      <c r="L69" s="17">
        <f t="shared" si="58"/>
        <v>0.33333333333333298</v>
      </c>
      <c r="M69" s="21"/>
    </row>
    <row r="70" spans="1:14" s="70" customFormat="1">
      <c r="A70" s="32" t="s">
        <v>53</v>
      </c>
      <c r="B70" s="10" t="s">
        <v>54</v>
      </c>
      <c r="C70" s="41"/>
      <c r="D70" s="41"/>
      <c r="E70" s="41">
        <f t="shared" si="55"/>
        <v>0</v>
      </c>
      <c r="F70" s="41"/>
      <c r="G70" s="41"/>
      <c r="H70" s="40">
        <f t="shared" si="56"/>
        <v>0</v>
      </c>
      <c r="I70" s="41"/>
      <c r="J70" s="41"/>
      <c r="K70" s="41">
        <f t="shared" si="57"/>
        <v>0</v>
      </c>
      <c r="L70" s="83">
        <f t="shared" si="58"/>
        <v>0</v>
      </c>
      <c r="M70" s="71" t="s">
        <v>25</v>
      </c>
    </row>
    <row r="71" spans="1:14" s="70" customFormat="1">
      <c r="A71" s="117" t="s">
        <v>55</v>
      </c>
      <c r="B71" s="75" t="s">
        <v>56</v>
      </c>
      <c r="C71" s="74">
        <v>0.25</v>
      </c>
      <c r="D71" s="56">
        <v>0.41666666666666702</v>
      </c>
      <c r="E71" s="56">
        <f t="shared" ref="E71:E73" si="59">IF(D71&gt;C71,D71-C71,C71-D71)</f>
        <v>0.16666666666666699</v>
      </c>
      <c r="F71" s="56"/>
      <c r="G71" s="74"/>
      <c r="H71" s="54">
        <f t="shared" ref="H71:H73" si="60">IF(G71&gt;F71,G71-F71,F71-G71)</f>
        <v>0</v>
      </c>
      <c r="I71" s="74">
        <v>0.75</v>
      </c>
      <c r="J71" s="74">
        <v>0.91666666666666696</v>
      </c>
      <c r="K71" s="56">
        <f t="shared" si="57"/>
        <v>0.16666666666666699</v>
      </c>
      <c r="L71" s="17">
        <f t="shared" ref="L71:L74" si="61">E71+H71+K71</f>
        <v>0.33333333333333298</v>
      </c>
      <c r="M71" s="21"/>
    </row>
    <row r="72" spans="1:14" s="70" customFormat="1">
      <c r="A72" s="72" t="s">
        <v>60</v>
      </c>
      <c r="B72" s="156" t="s">
        <v>61</v>
      </c>
      <c r="C72" s="56"/>
      <c r="D72" s="56"/>
      <c r="E72" s="56">
        <f t="shared" si="59"/>
        <v>0</v>
      </c>
      <c r="F72" s="56">
        <v>0.58333333333333304</v>
      </c>
      <c r="G72" s="56">
        <v>0.75</v>
      </c>
      <c r="H72" s="54">
        <f t="shared" si="60"/>
        <v>0.16666666666666699</v>
      </c>
      <c r="I72" s="74">
        <v>0.75</v>
      </c>
      <c r="J72" s="74">
        <v>0.91666666666666696</v>
      </c>
      <c r="K72" s="56">
        <f t="shared" ref="K72:K74" si="62">IF(J72&gt;I72,J72-I72,I72-J72)</f>
        <v>0.16666666666666699</v>
      </c>
      <c r="L72" s="17">
        <f t="shared" si="61"/>
        <v>0.33333333333333298</v>
      </c>
      <c r="M72" s="21"/>
    </row>
    <row r="73" spans="1:14" s="70" customFormat="1">
      <c r="A73" s="32" t="s">
        <v>30</v>
      </c>
      <c r="B73" s="156" t="s">
        <v>57</v>
      </c>
      <c r="C73" s="56"/>
      <c r="D73" s="56"/>
      <c r="E73" s="56">
        <f t="shared" si="59"/>
        <v>0</v>
      </c>
      <c r="F73" s="56">
        <v>0.58333333333333304</v>
      </c>
      <c r="G73" s="56">
        <v>0.75</v>
      </c>
      <c r="H73" s="54">
        <f t="shared" si="60"/>
        <v>0.16666666666666699</v>
      </c>
      <c r="I73" s="74">
        <v>0.75</v>
      </c>
      <c r="J73" s="74">
        <v>0.91666666666666696</v>
      </c>
      <c r="K73" s="56">
        <f t="shared" si="62"/>
        <v>0.16666666666666699</v>
      </c>
      <c r="L73" s="17">
        <f t="shared" si="61"/>
        <v>0.33333333333333298</v>
      </c>
      <c r="M73" s="21"/>
    </row>
    <row r="74" spans="1:14" s="70" customFormat="1">
      <c r="A74" s="32" t="s">
        <v>30</v>
      </c>
      <c r="B74" s="75" t="s">
        <v>58</v>
      </c>
      <c r="C74" s="56"/>
      <c r="D74" s="56"/>
      <c r="E74" s="56">
        <f t="shared" ref="E74" si="63">IF(D74&gt;C74,D74-C74,C74-D74)</f>
        <v>0</v>
      </c>
      <c r="F74" s="56">
        <v>0.58333333333333304</v>
      </c>
      <c r="G74" s="56">
        <v>0.75</v>
      </c>
      <c r="H74" s="54">
        <f t="shared" ref="H74" si="64">IF(G74&gt;F74,G74-F74,F74-G74)</f>
        <v>0.16666666666666699</v>
      </c>
      <c r="I74" s="74">
        <v>0.75</v>
      </c>
      <c r="J74" s="74">
        <v>0.91666666666666696</v>
      </c>
      <c r="K74" s="56">
        <f t="shared" si="62"/>
        <v>0.16666666666666699</v>
      </c>
      <c r="L74" s="17">
        <f t="shared" si="61"/>
        <v>0.33333333333333298</v>
      </c>
      <c r="M74" s="21"/>
    </row>
    <row r="75" spans="1:14" s="70" customFormat="1">
      <c r="A75"/>
      <c r="B75" s="13"/>
      <c r="C75" s="77"/>
      <c r="D75" s="77"/>
      <c r="E75" s="78">
        <f>SUM(E65:E74)</f>
        <v>1.1666666666666701</v>
      </c>
      <c r="F75" s="78"/>
      <c r="G75" s="78"/>
      <c r="H75" s="78">
        <f>SUM(H65:H74)</f>
        <v>1</v>
      </c>
      <c r="I75" s="78"/>
      <c r="J75" s="78"/>
      <c r="K75" s="78">
        <f>SUM(K65:K74)</f>
        <v>0.83333333333333304</v>
      </c>
      <c r="L75" s="78">
        <f>SUM(L65:L74)</f>
        <v>3</v>
      </c>
      <c r="M75" s="23"/>
    </row>
    <row r="76" spans="1:14" s="70" customFormat="1">
      <c r="A76"/>
      <c r="B76" s="13"/>
      <c r="C76" s="77"/>
      <c r="D76" s="77"/>
      <c r="E76" s="23"/>
      <c r="F76" s="23"/>
      <c r="G76" s="23"/>
      <c r="H76" s="23"/>
      <c r="I76" s="23"/>
      <c r="J76" s="23"/>
      <c r="K76" s="23"/>
      <c r="L76" s="23"/>
      <c r="M76" s="23"/>
    </row>
    <row r="77" spans="1:14" s="70" customFormat="1">
      <c r="A77"/>
      <c r="B77" s="13"/>
      <c r="C77" s="77"/>
      <c r="D77" s="77"/>
      <c r="E77" s="23"/>
      <c r="F77" s="23"/>
      <c r="G77" s="23"/>
      <c r="H77" s="23"/>
      <c r="I77" s="23"/>
      <c r="J77" s="23"/>
      <c r="K77" s="23"/>
      <c r="L77" s="23"/>
      <c r="M77" s="23"/>
    </row>
    <row r="78" spans="1:14">
      <c r="C78" s="2" t="s">
        <v>42</v>
      </c>
      <c r="G78" s="5" t="s">
        <v>37</v>
      </c>
      <c r="H78" s="6">
        <f>+H62+1</f>
        <v>46249</v>
      </c>
    </row>
    <row r="79" spans="1:14">
      <c r="C79" s="168" t="s">
        <v>3</v>
      </c>
      <c r="D79" s="168"/>
      <c r="E79" s="168"/>
      <c r="F79" s="169" t="s">
        <v>4</v>
      </c>
      <c r="G79" s="169"/>
      <c r="H79" s="169"/>
      <c r="I79" s="170" t="s">
        <v>5</v>
      </c>
      <c r="J79" s="170"/>
      <c r="K79" s="170"/>
    </row>
    <row r="80" spans="1:14">
      <c r="B80" s="7" t="s">
        <v>6</v>
      </c>
      <c r="C80" s="8" t="s">
        <v>7</v>
      </c>
      <c r="D80" s="8" t="s">
        <v>8</v>
      </c>
      <c r="E80" s="8" t="s">
        <v>9</v>
      </c>
      <c r="F80" s="9" t="s">
        <v>7</v>
      </c>
      <c r="G80" s="9" t="s">
        <v>8</v>
      </c>
      <c r="H80" s="9" t="s">
        <v>9</v>
      </c>
      <c r="I80" s="16" t="s">
        <v>7</v>
      </c>
      <c r="J80" s="16" t="s">
        <v>8</v>
      </c>
      <c r="K80" s="16" t="s">
        <v>9</v>
      </c>
      <c r="L80" s="7" t="s">
        <v>10</v>
      </c>
      <c r="M80" s="153"/>
    </row>
    <row r="81" spans="1:13" s="70" customFormat="1">
      <c r="A81" s="32" t="s">
        <v>43</v>
      </c>
      <c r="B81" s="156" t="s">
        <v>44</v>
      </c>
      <c r="C81" s="56"/>
      <c r="D81" s="56"/>
      <c r="E81" s="56">
        <f>IF(D81&gt;C81,D81-C81,C81-D81)</f>
        <v>0</v>
      </c>
      <c r="F81" s="56">
        <v>0.58333333333333304</v>
      </c>
      <c r="G81" s="56">
        <v>0.75</v>
      </c>
      <c r="H81" s="54">
        <f>IF(G81&gt;F81,G81-F81,F81-G81)</f>
        <v>0.16666666666666699</v>
      </c>
      <c r="I81" s="74">
        <v>0.75</v>
      </c>
      <c r="J81" s="74">
        <v>0.91666666666666696</v>
      </c>
      <c r="K81" s="56">
        <f>IF(J81&gt;I81,J81-I81,I81-J81)</f>
        <v>0.16666666666666699</v>
      </c>
      <c r="L81" s="17">
        <f>E81+H81+K81</f>
        <v>0.33333333333333298</v>
      </c>
      <c r="M81" s="21"/>
    </row>
    <row r="82" spans="1:13" s="70" customFormat="1">
      <c r="A82" s="32" t="s">
        <v>45</v>
      </c>
      <c r="B82" s="75" t="s">
        <v>46</v>
      </c>
      <c r="C82" s="74">
        <v>0.25</v>
      </c>
      <c r="D82" s="56">
        <v>0.41666666666666702</v>
      </c>
      <c r="E82" s="56">
        <f>IF(D82&gt;C82,D82-C82,C82-D82)</f>
        <v>0.16666666666666699</v>
      </c>
      <c r="F82" s="56"/>
      <c r="G82" s="56"/>
      <c r="H82" s="54">
        <f>IF(G82&gt;F82,G82-F82,F82-G82)</f>
        <v>0</v>
      </c>
      <c r="I82" s="74">
        <v>0.75</v>
      </c>
      <c r="J82" s="74">
        <v>0.91666666666666696</v>
      </c>
      <c r="K82" s="56">
        <f>IF(J82&gt;I82,J82-I82,I82-J82)</f>
        <v>0.16666666666666699</v>
      </c>
      <c r="L82" s="17">
        <f>E82+H82+K82</f>
        <v>0.33333333333333298</v>
      </c>
      <c r="M82" s="21"/>
    </row>
    <row r="83" spans="1:13" s="70" customFormat="1">
      <c r="A83" t="s">
        <v>47</v>
      </c>
      <c r="B83" s="10" t="s">
        <v>48</v>
      </c>
      <c r="C83" s="74">
        <v>0.25</v>
      </c>
      <c r="D83" s="56">
        <v>0.5</v>
      </c>
      <c r="E83" s="56">
        <f t="shared" ref="E83:E88" si="65">IF(D83&gt;C83,D83-C83,C83-D83)</f>
        <v>0.25</v>
      </c>
      <c r="F83" s="56">
        <v>0.5</v>
      </c>
      <c r="G83" s="74">
        <v>0.58333333333333304</v>
      </c>
      <c r="H83" s="54">
        <f t="shared" ref="H83:H84" si="66">IF(G83&gt;F83,G83-F83,F83-G83)</f>
        <v>8.3333333333333398E-2</v>
      </c>
      <c r="I83" s="56"/>
      <c r="J83" s="56"/>
      <c r="K83" s="56">
        <f t="shared" ref="K83:K88" si="67">IF(J83&gt;I83,J83-I83,I83-J83)</f>
        <v>0</v>
      </c>
      <c r="L83" s="17">
        <f t="shared" ref="L83:L88" si="68">E83+H83+K83</f>
        <v>0.33333333333333298</v>
      </c>
      <c r="M83" s="21" t="s">
        <v>59</v>
      </c>
    </row>
    <row r="84" spans="1:13" s="70" customFormat="1">
      <c r="A84" s="32" t="s">
        <v>49</v>
      </c>
      <c r="B84" s="10" t="s">
        <v>50</v>
      </c>
      <c r="C84" s="41"/>
      <c r="D84" s="41"/>
      <c r="E84" s="41">
        <f t="shared" si="65"/>
        <v>0</v>
      </c>
      <c r="F84" s="41"/>
      <c r="G84" s="41"/>
      <c r="H84" s="40">
        <f t="shared" si="66"/>
        <v>0</v>
      </c>
      <c r="I84" s="41"/>
      <c r="J84" s="41"/>
      <c r="K84" s="41">
        <f t="shared" ref="K84:K86" si="69">IF(J84&gt;I84,J84-I84,I84-J84)</f>
        <v>0</v>
      </c>
      <c r="L84" s="83">
        <f t="shared" ref="L84:L86" si="70">E84+H84+K84</f>
        <v>0</v>
      </c>
      <c r="M84" s="71" t="s">
        <v>25</v>
      </c>
    </row>
    <row r="85" spans="1:13" s="70" customFormat="1">
      <c r="A85" s="32" t="s">
        <v>51</v>
      </c>
      <c r="B85" s="75" t="s">
        <v>52</v>
      </c>
      <c r="C85" s="74">
        <v>0.25</v>
      </c>
      <c r="D85" s="56">
        <v>0.5</v>
      </c>
      <c r="E85" s="56">
        <f t="shared" ref="E85:E86" si="71">IF(D85&gt;C85,D85-C85,C85-D85)</f>
        <v>0.25</v>
      </c>
      <c r="F85" s="56">
        <v>0.5</v>
      </c>
      <c r="G85" s="74">
        <v>0.58333333333333304</v>
      </c>
      <c r="H85" s="54">
        <f t="shared" ref="H85:H86" si="72">IF(G85&gt;F85,G85-F85,F85-G85)</f>
        <v>8.3333333333333398E-2</v>
      </c>
      <c r="I85" s="56"/>
      <c r="J85" s="56"/>
      <c r="K85" s="56">
        <f t="shared" si="69"/>
        <v>0</v>
      </c>
      <c r="L85" s="17">
        <f t="shared" si="70"/>
        <v>0.33333333333333298</v>
      </c>
      <c r="M85" s="21"/>
    </row>
    <row r="86" spans="1:13" s="70" customFormat="1">
      <c r="A86" s="32" t="s">
        <v>53</v>
      </c>
      <c r="B86" s="156" t="s">
        <v>54</v>
      </c>
      <c r="C86" s="56"/>
      <c r="D86" s="56"/>
      <c r="E86" s="56">
        <f t="shared" si="71"/>
        <v>0</v>
      </c>
      <c r="F86" s="56">
        <v>0.58333333333333304</v>
      </c>
      <c r="G86" s="56">
        <v>0.75</v>
      </c>
      <c r="H86" s="54">
        <f t="shared" si="72"/>
        <v>0.16666666666666699</v>
      </c>
      <c r="I86" s="74">
        <v>0.75</v>
      </c>
      <c r="J86" s="74">
        <v>0.91666666666666696</v>
      </c>
      <c r="K86" s="56">
        <f t="shared" si="69"/>
        <v>0.16666666666666699</v>
      </c>
      <c r="L86" s="17">
        <f t="shared" si="70"/>
        <v>0.33333333333333298</v>
      </c>
      <c r="M86" s="21"/>
    </row>
    <row r="87" spans="1:13" s="70" customFormat="1">
      <c r="A87" s="32" t="s">
        <v>55</v>
      </c>
      <c r="B87" s="157" t="s">
        <v>56</v>
      </c>
      <c r="C87" s="74">
        <v>0.25</v>
      </c>
      <c r="D87" s="56">
        <v>0.41666666666666702</v>
      </c>
      <c r="E87" s="56">
        <f t="shared" si="65"/>
        <v>0.16666666666666699</v>
      </c>
      <c r="F87" s="56"/>
      <c r="G87" s="56"/>
      <c r="H87" s="54">
        <f t="shared" ref="H87:H89" si="73">IF(G87&gt;F87,G87-F87,F87-G87)</f>
        <v>0</v>
      </c>
      <c r="I87" s="74">
        <v>0.75</v>
      </c>
      <c r="J87" s="74">
        <v>0.91666666666666696</v>
      </c>
      <c r="K87" s="56">
        <f t="shared" si="67"/>
        <v>0.16666666666666699</v>
      </c>
      <c r="L87" s="17">
        <f t="shared" si="68"/>
        <v>0.33333333333333298</v>
      </c>
      <c r="M87" s="21"/>
    </row>
    <row r="88" spans="1:13" s="70" customFormat="1">
      <c r="A88" s="32" t="s">
        <v>30</v>
      </c>
      <c r="B88" s="75" t="s">
        <v>57</v>
      </c>
      <c r="C88" s="56"/>
      <c r="D88" s="56"/>
      <c r="E88" s="56">
        <f t="shared" si="65"/>
        <v>0</v>
      </c>
      <c r="F88" s="56">
        <v>0.58333333333333304</v>
      </c>
      <c r="G88" s="56">
        <v>0.75</v>
      </c>
      <c r="H88" s="54">
        <f t="shared" si="73"/>
        <v>0.16666666666666699</v>
      </c>
      <c r="I88" s="74">
        <v>0.75</v>
      </c>
      <c r="J88" s="74">
        <v>0.91666666666666696</v>
      </c>
      <c r="K88" s="56">
        <f t="shared" si="67"/>
        <v>0.16666666666666699</v>
      </c>
      <c r="L88" s="17">
        <f t="shared" si="68"/>
        <v>0.33333333333333298</v>
      </c>
      <c r="M88" s="21"/>
    </row>
    <row r="89" spans="1:13" s="70" customFormat="1">
      <c r="A89" s="32" t="s">
        <v>30</v>
      </c>
      <c r="B89" s="156" t="s">
        <v>58</v>
      </c>
      <c r="C89" s="74">
        <v>0.25</v>
      </c>
      <c r="D89" s="56">
        <v>0.5</v>
      </c>
      <c r="E89" s="56">
        <f t="shared" ref="E89" si="74">IF(D89&gt;C89,D89-C89,C89-D89)</f>
        <v>0.25</v>
      </c>
      <c r="F89" s="56">
        <v>0.5</v>
      </c>
      <c r="G89" s="74">
        <v>0.58333333333333304</v>
      </c>
      <c r="H89" s="54">
        <f t="shared" si="73"/>
        <v>8.3333333333333398E-2</v>
      </c>
      <c r="I89" s="56"/>
      <c r="J89" s="56"/>
      <c r="K89" s="56">
        <f t="shared" ref="K89" si="75">IF(J89&gt;I89,J89-I89,I89-J89)</f>
        <v>0</v>
      </c>
      <c r="L89" s="17">
        <f t="shared" ref="L89" si="76">E89+H89+K89</f>
        <v>0.33333333333333298</v>
      </c>
      <c r="M89" s="21"/>
    </row>
    <row r="90" spans="1:13" s="70" customFormat="1">
      <c r="A90"/>
      <c r="B90" s="13"/>
      <c r="C90" s="77"/>
      <c r="D90" s="77"/>
      <c r="E90" s="78">
        <f>SUM(E81:E89)</f>
        <v>1.0833333333333299</v>
      </c>
      <c r="F90" s="78"/>
      <c r="G90" s="78"/>
      <c r="H90" s="78">
        <f>SUM(H81:H88)</f>
        <v>0.66666666666666696</v>
      </c>
      <c r="I90" s="78"/>
      <c r="J90" s="78"/>
      <c r="K90" s="78">
        <f>SUM(K81:K89)</f>
        <v>0.83333333333333304</v>
      </c>
      <c r="L90" s="78">
        <f>SUM(L81:L89)</f>
        <v>2.6666666666666701</v>
      </c>
      <c r="M90" s="23"/>
    </row>
    <row r="91" spans="1:13" s="70" customFormat="1">
      <c r="A91"/>
      <c r="B91" s="13"/>
      <c r="C91" s="77"/>
      <c r="D91" s="77"/>
      <c r="E91" s="23"/>
      <c r="F91" s="23"/>
      <c r="G91" s="23"/>
      <c r="H91" s="23"/>
      <c r="I91" s="23"/>
      <c r="J91" s="23"/>
      <c r="K91" s="23"/>
      <c r="L91" s="23"/>
      <c r="M91" s="23"/>
    </row>
    <row r="92" spans="1:13">
      <c r="C92" s="2" t="s">
        <v>42</v>
      </c>
      <c r="G92" s="5" t="s">
        <v>38</v>
      </c>
      <c r="H92" s="6">
        <f>+H78+1</f>
        <v>46250</v>
      </c>
    </row>
    <row r="93" spans="1:13">
      <c r="C93" s="168" t="s">
        <v>3</v>
      </c>
      <c r="D93" s="168"/>
      <c r="E93" s="168"/>
      <c r="F93" s="169" t="s">
        <v>4</v>
      </c>
      <c r="G93" s="169"/>
      <c r="H93" s="169"/>
      <c r="I93" s="170" t="s">
        <v>5</v>
      </c>
      <c r="J93" s="170"/>
      <c r="K93" s="170"/>
    </row>
    <row r="94" spans="1:13">
      <c r="B94" s="7" t="s">
        <v>6</v>
      </c>
      <c r="C94" s="8" t="s">
        <v>7</v>
      </c>
      <c r="D94" s="8" t="s">
        <v>8</v>
      </c>
      <c r="E94" s="8" t="s">
        <v>9</v>
      </c>
      <c r="F94" s="9" t="s">
        <v>7</v>
      </c>
      <c r="G94" s="9" t="s">
        <v>8</v>
      </c>
      <c r="H94" s="9" t="s">
        <v>9</v>
      </c>
      <c r="I94" s="16" t="s">
        <v>7</v>
      </c>
      <c r="J94" s="16" t="s">
        <v>8</v>
      </c>
      <c r="K94" s="16" t="s">
        <v>9</v>
      </c>
      <c r="L94" s="7" t="s">
        <v>10</v>
      </c>
      <c r="M94" s="153"/>
    </row>
    <row r="95" spans="1:13" s="70" customFormat="1">
      <c r="A95" s="32" t="s">
        <v>43</v>
      </c>
      <c r="B95" s="156" t="s">
        <v>44</v>
      </c>
      <c r="C95" s="56"/>
      <c r="D95" s="56"/>
      <c r="E95" s="56">
        <f>IF(D95&gt;C95,D95-C95,C95-D95)</f>
        <v>0</v>
      </c>
      <c r="F95" s="56">
        <v>0.58333333333333304</v>
      </c>
      <c r="G95" s="56">
        <v>0.75</v>
      </c>
      <c r="H95" s="54">
        <f>IF(G95&gt;F95,G95-F95,F95-G95)</f>
        <v>0.16666666666666699</v>
      </c>
      <c r="I95" s="74">
        <v>0.75</v>
      </c>
      <c r="J95" s="74">
        <v>0.91666666666666696</v>
      </c>
      <c r="K95" s="56">
        <f>IF(J95&gt;I95,J95-I95,I95-J95)</f>
        <v>0.16666666666666699</v>
      </c>
      <c r="L95" s="17">
        <f>E95+H95+K95</f>
        <v>0.33333333333333298</v>
      </c>
      <c r="M95" s="21"/>
    </row>
    <row r="96" spans="1:13" s="70" customFormat="1">
      <c r="A96" s="32" t="s">
        <v>45</v>
      </c>
      <c r="B96" s="75" t="s">
        <v>46</v>
      </c>
      <c r="C96" s="74">
        <v>0.25</v>
      </c>
      <c r="D96" s="56">
        <v>0.5</v>
      </c>
      <c r="E96" s="56">
        <f t="shared" ref="E96:E97" si="77">IF(D96&gt;C96,D96-C96,C96-D96)</f>
        <v>0.25</v>
      </c>
      <c r="F96" s="56">
        <v>0.5</v>
      </c>
      <c r="G96" s="74">
        <v>0.58333333333333304</v>
      </c>
      <c r="H96" s="54">
        <f t="shared" ref="H96:H97" si="78">IF(G96&gt;F96,G96-F96,F96-G96)</f>
        <v>8.3333333333333398E-2</v>
      </c>
      <c r="I96" s="56"/>
      <c r="J96" s="56"/>
      <c r="K96" s="56">
        <f t="shared" ref="K96:K97" si="79">IF(J96&gt;I96,J96-I96,I96-J96)</f>
        <v>0</v>
      </c>
      <c r="L96" s="17">
        <f t="shared" ref="L96:L97" si="80">E96+H96+K96</f>
        <v>0.33333333333333298</v>
      </c>
      <c r="M96" s="21"/>
    </row>
    <row r="97" spans="1:13" s="70" customFormat="1">
      <c r="A97" t="s">
        <v>47</v>
      </c>
      <c r="B97" s="10" t="s">
        <v>48</v>
      </c>
      <c r="C97" s="41"/>
      <c r="D97" s="41"/>
      <c r="E97" s="41">
        <f t="shared" si="77"/>
        <v>0</v>
      </c>
      <c r="F97" s="41"/>
      <c r="G97" s="41"/>
      <c r="H97" s="40">
        <f t="shared" si="78"/>
        <v>0</v>
      </c>
      <c r="I97" s="41"/>
      <c r="J97" s="41"/>
      <c r="K97" s="41">
        <f t="shared" si="79"/>
        <v>0</v>
      </c>
      <c r="L97" s="83">
        <f t="shared" si="80"/>
        <v>0</v>
      </c>
      <c r="M97" s="71" t="s">
        <v>25</v>
      </c>
    </row>
    <row r="98" spans="1:13" s="70" customFormat="1">
      <c r="A98" s="32" t="s">
        <v>49</v>
      </c>
      <c r="B98" s="156" t="s">
        <v>50</v>
      </c>
      <c r="C98" s="56"/>
      <c r="D98" s="56"/>
      <c r="E98" s="56">
        <f t="shared" ref="E98:E101" si="81">IF(D98&gt;C98,D98-C98,C98-D98)</f>
        <v>0</v>
      </c>
      <c r="F98" s="56">
        <v>0.58333333333333304</v>
      </c>
      <c r="G98" s="56">
        <v>0.75</v>
      </c>
      <c r="H98" s="54">
        <f t="shared" ref="H98" si="82">IF(G98&gt;F98,G98-F98,F98-G98)</f>
        <v>0.16666666666666699</v>
      </c>
      <c r="I98" s="74">
        <v>0.75</v>
      </c>
      <c r="J98" s="74">
        <v>0.91666666666666696</v>
      </c>
      <c r="K98" s="56">
        <f t="shared" ref="K98:K104" si="83">IF(J98&gt;I98,J98-I98,I98-J98)</f>
        <v>0.16666666666666699</v>
      </c>
      <c r="L98" s="17">
        <f t="shared" ref="L98:L104" si="84">E98+H98+K98</f>
        <v>0.33333333333333298</v>
      </c>
      <c r="M98" s="21"/>
    </row>
    <row r="99" spans="1:13" s="70" customFormat="1">
      <c r="A99" s="32" t="s">
        <v>51</v>
      </c>
      <c r="B99" s="10" t="s">
        <v>52</v>
      </c>
      <c r="C99" s="41"/>
      <c r="D99" s="41"/>
      <c r="E99" s="41">
        <f t="shared" si="81"/>
        <v>0</v>
      </c>
      <c r="F99" s="41"/>
      <c r="G99" s="41"/>
      <c r="H99" s="40">
        <f t="shared" ref="H99:H103" si="85">IF(G99&gt;F99,G99-F99,F99-G99)</f>
        <v>0</v>
      </c>
      <c r="I99" s="41"/>
      <c r="J99" s="41"/>
      <c r="K99" s="41">
        <f t="shared" si="83"/>
        <v>0</v>
      </c>
      <c r="L99" s="83">
        <f t="shared" si="84"/>
        <v>0</v>
      </c>
      <c r="M99" s="71" t="s">
        <v>25</v>
      </c>
    </row>
    <row r="100" spans="1:13" s="70" customFormat="1">
      <c r="A100" s="32" t="s">
        <v>53</v>
      </c>
      <c r="B100" s="156" t="s">
        <v>54</v>
      </c>
      <c r="C100" s="74">
        <v>0.25</v>
      </c>
      <c r="D100" s="56">
        <v>0.5</v>
      </c>
      <c r="E100" s="56">
        <f t="shared" si="81"/>
        <v>0.25</v>
      </c>
      <c r="F100" s="56">
        <v>0.5</v>
      </c>
      <c r="G100" s="74">
        <v>0.58333333333333304</v>
      </c>
      <c r="H100" s="54">
        <f t="shared" si="85"/>
        <v>8.3333333333333398E-2</v>
      </c>
      <c r="I100" s="56"/>
      <c r="J100" s="56"/>
      <c r="K100" s="56">
        <f t="shared" si="83"/>
        <v>0</v>
      </c>
      <c r="L100" s="17">
        <f t="shared" si="84"/>
        <v>0.33333333333333298</v>
      </c>
      <c r="M100" s="21"/>
    </row>
    <row r="101" spans="1:13" s="70" customFormat="1">
      <c r="A101" s="72" t="s">
        <v>60</v>
      </c>
      <c r="B101" s="156" t="s">
        <v>61</v>
      </c>
      <c r="C101" s="56"/>
      <c r="D101" s="56"/>
      <c r="E101" s="56">
        <f t="shared" si="81"/>
        <v>0</v>
      </c>
      <c r="F101" s="56">
        <v>0.58333333333333304</v>
      </c>
      <c r="G101" s="56">
        <v>0.75</v>
      </c>
      <c r="H101" s="54">
        <f t="shared" si="85"/>
        <v>0.16666666666666699</v>
      </c>
      <c r="I101" s="74">
        <v>0.75</v>
      </c>
      <c r="J101" s="74">
        <v>0.91666666666666696</v>
      </c>
      <c r="K101" s="56">
        <f t="shared" si="83"/>
        <v>0.16666666666666699</v>
      </c>
      <c r="L101" s="17">
        <f t="shared" si="84"/>
        <v>0.33333333333333298</v>
      </c>
      <c r="M101" s="21"/>
    </row>
    <row r="102" spans="1:13" s="70" customFormat="1">
      <c r="A102" s="32" t="s">
        <v>55</v>
      </c>
      <c r="B102" s="75" t="s">
        <v>56</v>
      </c>
      <c r="C102" s="74">
        <v>0.25</v>
      </c>
      <c r="D102" s="56">
        <v>0.5</v>
      </c>
      <c r="E102" s="56">
        <f t="shared" ref="E102:E104" si="86">IF(D102&gt;C102,D102-C102,C102-D102)</f>
        <v>0.25</v>
      </c>
      <c r="F102" s="56">
        <v>0.5</v>
      </c>
      <c r="G102" s="74">
        <v>0.58333333333333304</v>
      </c>
      <c r="H102" s="54">
        <f t="shared" si="85"/>
        <v>8.3333333333333398E-2</v>
      </c>
      <c r="I102" s="56"/>
      <c r="J102" s="56"/>
      <c r="K102" s="56">
        <f t="shared" si="83"/>
        <v>0</v>
      </c>
      <c r="L102" s="17">
        <f t="shared" si="84"/>
        <v>0.33333333333333298</v>
      </c>
      <c r="M102" s="21"/>
    </row>
    <row r="103" spans="1:13" s="70" customFormat="1">
      <c r="A103" s="32" t="s">
        <v>30</v>
      </c>
      <c r="B103" s="75" t="s">
        <v>57</v>
      </c>
      <c r="C103" s="56"/>
      <c r="D103" s="56"/>
      <c r="E103" s="56">
        <f t="shared" si="86"/>
        <v>0</v>
      </c>
      <c r="F103" s="56">
        <v>0.58333333333333304</v>
      </c>
      <c r="G103" s="56">
        <v>0.75</v>
      </c>
      <c r="H103" s="54">
        <f t="shared" si="85"/>
        <v>0.16666666666666699</v>
      </c>
      <c r="I103" s="74">
        <v>0.75</v>
      </c>
      <c r="J103" s="74">
        <v>0.91666666666666696</v>
      </c>
      <c r="K103" s="56">
        <f t="shared" si="83"/>
        <v>0.16666666666666699</v>
      </c>
      <c r="L103" s="17">
        <f t="shared" si="84"/>
        <v>0.33333333333333298</v>
      </c>
      <c r="M103" s="21"/>
    </row>
    <row r="104" spans="1:13" s="70" customFormat="1">
      <c r="A104" s="32" t="s">
        <v>30</v>
      </c>
      <c r="B104" s="156" t="s">
        <v>58</v>
      </c>
      <c r="C104" s="74">
        <v>0.25</v>
      </c>
      <c r="D104" s="56">
        <v>0.5</v>
      </c>
      <c r="E104" s="56">
        <f t="shared" si="86"/>
        <v>0.25</v>
      </c>
      <c r="F104" s="56">
        <v>0.5</v>
      </c>
      <c r="G104" s="74">
        <v>0.58333333333333304</v>
      </c>
      <c r="H104" s="54">
        <f t="shared" ref="H104" si="87">IF(G104&gt;F104,G104-F104,F104-G104)</f>
        <v>8.3333333333333398E-2</v>
      </c>
      <c r="I104" s="56"/>
      <c r="J104" s="56"/>
      <c r="K104" s="56">
        <f t="shared" si="83"/>
        <v>0</v>
      </c>
      <c r="L104" s="17">
        <f t="shared" si="84"/>
        <v>0.33333333333333298</v>
      </c>
      <c r="M104" s="21"/>
    </row>
    <row r="105" spans="1:13" s="70" customFormat="1">
      <c r="A105"/>
      <c r="B105" s="13"/>
      <c r="C105" s="77"/>
      <c r="D105" s="77"/>
      <c r="E105" s="78">
        <f>SUM(E95:E104)</f>
        <v>1</v>
      </c>
      <c r="F105" s="78"/>
      <c r="G105" s="78"/>
      <c r="H105" s="78">
        <f>SUM(H95:H104)</f>
        <v>1</v>
      </c>
      <c r="I105" s="78"/>
      <c r="J105" s="78"/>
      <c r="K105" s="78">
        <f>SUM(K95:K104)</f>
        <v>0.66666666666666696</v>
      </c>
      <c r="L105" s="78">
        <f>SUM(L95:L104)</f>
        <v>2.6666666666666701</v>
      </c>
      <c r="M105" s="23"/>
    </row>
  </sheetData>
  <mergeCells count="22">
    <mergeCell ref="C6:E6"/>
    <mergeCell ref="F6:H6"/>
    <mergeCell ref="I6:K6"/>
    <mergeCell ref="C20:E20"/>
    <mergeCell ref="F20:H20"/>
    <mergeCell ref="I20:K20"/>
    <mergeCell ref="C93:E93"/>
    <mergeCell ref="F93:H93"/>
    <mergeCell ref="I93:K93"/>
    <mergeCell ref="E2:I3"/>
    <mergeCell ref="C63:E63"/>
    <mergeCell ref="F63:H63"/>
    <mergeCell ref="I63:K63"/>
    <mergeCell ref="C79:E79"/>
    <mergeCell ref="F79:H79"/>
    <mergeCell ref="I79:K79"/>
    <mergeCell ref="C34:E34"/>
    <mergeCell ref="F34:H34"/>
    <mergeCell ref="I34:K34"/>
    <mergeCell ref="C48:E48"/>
    <mergeCell ref="F48:H48"/>
    <mergeCell ref="I48:K48"/>
  </mergeCells>
  <pageMargins left="0.7" right="0.7" top="0.75" bottom="0.75" header="0.3" footer="0.3"/>
  <pageSetup paperSize="9" orientation="portrait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M116"/>
  <sheetViews>
    <sheetView zoomScale="85" zoomScaleNormal="85" workbookViewId="0">
      <selection activeCell="X35" sqref="X35"/>
    </sheetView>
  </sheetViews>
  <sheetFormatPr defaultColWidth="11" defaultRowHeight="15"/>
  <sheetData>
    <row r="2" spans="1:13">
      <c r="E2" s="171" t="s">
        <v>62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63</v>
      </c>
      <c r="G5" s="5" t="str">
        <f>+MAINTENANCE!G5</f>
        <v>LUNDI</v>
      </c>
      <c r="H5" s="6">
        <f>+'CUISINE SNACK'!H5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150" t="s">
        <v>64</v>
      </c>
      <c r="B8" s="76" t="s">
        <v>65</v>
      </c>
      <c r="C8" s="29">
        <v>0.1875</v>
      </c>
      <c r="D8" s="29">
        <v>0.52083333333333304</v>
      </c>
      <c r="E8" s="17">
        <f t="shared" ref="E8:E10" si="0">IF(D8&gt;C8,D8-C8,C8-D8)</f>
        <v>0.33333333333333298</v>
      </c>
      <c r="F8" s="17"/>
      <c r="G8" s="17"/>
      <c r="H8" s="17">
        <f t="shared" ref="H8:H10" si="1">IF(G8&gt;F8,G8-F8,F8-G8)</f>
        <v>0</v>
      </c>
      <c r="I8" s="17"/>
      <c r="J8" s="17"/>
      <c r="K8" s="17">
        <f t="shared" ref="K8:K10" si="2">IF(J8&gt;I8,J8-I8,I8-J8)</f>
        <v>0</v>
      </c>
      <c r="L8" s="17">
        <f t="shared" ref="L8:L10" si="3">E8+H8+K8</f>
        <v>0.33333333333333298</v>
      </c>
    </row>
    <row r="9" spans="1:13">
      <c r="A9" s="150" t="s">
        <v>66</v>
      </c>
      <c r="B9" s="76" t="s">
        <v>67</v>
      </c>
      <c r="C9" s="29">
        <v>0.1875</v>
      </c>
      <c r="D9" s="29">
        <v>0.52083333333333304</v>
      </c>
      <c r="E9" s="17">
        <f t="shared" si="0"/>
        <v>0.33333333333333298</v>
      </c>
      <c r="F9" s="17"/>
      <c r="G9" s="17"/>
      <c r="H9" s="17">
        <f t="shared" si="1"/>
        <v>0</v>
      </c>
      <c r="I9" s="17"/>
      <c r="J9" s="17"/>
      <c r="K9" s="17">
        <f t="shared" si="2"/>
        <v>0</v>
      </c>
      <c r="L9" s="17">
        <f t="shared" si="3"/>
        <v>0.33333333333333298</v>
      </c>
    </row>
    <row r="10" spans="1:13">
      <c r="A10" s="150" t="s">
        <v>68</v>
      </c>
      <c r="B10" s="151" t="s">
        <v>69</v>
      </c>
      <c r="C10" s="29">
        <v>0.41666666666666702</v>
      </c>
      <c r="D10" s="152">
        <v>0.58333333333333304</v>
      </c>
      <c r="E10" s="17">
        <f t="shared" si="0"/>
        <v>0.16666666666666699</v>
      </c>
      <c r="F10" s="29">
        <v>0.58333333333333304</v>
      </c>
      <c r="G10" s="29">
        <v>0.75</v>
      </c>
      <c r="H10" s="17">
        <f t="shared" si="1"/>
        <v>0.16666666666666699</v>
      </c>
      <c r="I10" s="29">
        <v>0.75</v>
      </c>
      <c r="J10" s="29">
        <v>0.91666666666666696</v>
      </c>
      <c r="K10" s="17">
        <f t="shared" si="2"/>
        <v>0.16666666666666699</v>
      </c>
      <c r="L10" s="17">
        <f t="shared" si="3"/>
        <v>0.5</v>
      </c>
    </row>
    <row r="11" spans="1:13">
      <c r="A11" s="150"/>
      <c r="B11" s="151" t="s">
        <v>70</v>
      </c>
      <c r="C11" s="29">
        <v>0.1875</v>
      </c>
      <c r="D11" s="152">
        <v>0.52083333333333304</v>
      </c>
      <c r="E11" s="17"/>
      <c r="F11" s="29"/>
      <c r="G11" s="29"/>
      <c r="H11" s="17"/>
      <c r="I11" s="29"/>
      <c r="J11" s="29"/>
      <c r="K11" s="17"/>
      <c r="L11" s="17"/>
    </row>
    <row r="12" spans="1:13">
      <c r="A12" s="150"/>
      <c r="B12" s="151" t="s">
        <v>71</v>
      </c>
      <c r="C12" s="40"/>
      <c r="D12" s="40"/>
      <c r="E12" s="40">
        <f t="shared" ref="E12" si="4">IF(D12&gt;C12,D12-C12,C12-D12)</f>
        <v>0</v>
      </c>
      <c r="F12" s="40"/>
      <c r="G12" s="40"/>
      <c r="H12" s="40">
        <f t="shared" ref="H12" si="5">IF(G12&gt;F12,G12-F12,F12-G12)</f>
        <v>0</v>
      </c>
      <c r="I12" s="41"/>
      <c r="J12" s="41"/>
      <c r="K12" s="41"/>
      <c r="L12" s="41"/>
      <c r="M12" s="32" t="s">
        <v>25</v>
      </c>
    </row>
    <row r="13" spans="1:13">
      <c r="A13" s="150" t="s">
        <v>72</v>
      </c>
      <c r="B13" s="13" t="s">
        <v>73</v>
      </c>
      <c r="C13" s="40"/>
      <c r="D13" s="40"/>
      <c r="E13" s="40">
        <f t="shared" ref="E13" si="6">IF(D13&gt;C13,D13-C13,C13-D13)</f>
        <v>0</v>
      </c>
      <c r="F13" s="40"/>
      <c r="G13" s="40"/>
      <c r="H13" s="40">
        <f t="shared" ref="H13" si="7">IF(G13&gt;F13,G13-F13,F13-G13)</f>
        <v>0</v>
      </c>
      <c r="I13" s="41"/>
      <c r="J13" s="41"/>
      <c r="K13" s="41"/>
      <c r="L13" s="41"/>
      <c r="M13" s="32" t="s">
        <v>25</v>
      </c>
    </row>
    <row r="14" spans="1:13">
      <c r="A14" s="150" t="s">
        <v>30</v>
      </c>
      <c r="B14" s="13" t="s">
        <v>74</v>
      </c>
      <c r="C14" s="40"/>
      <c r="D14" s="40"/>
      <c r="E14" s="40">
        <f t="shared" ref="E14" si="8">IF(D14&gt;C14,D14-C14,C14-D14)</f>
        <v>0</v>
      </c>
      <c r="F14" s="40"/>
      <c r="G14" s="40"/>
      <c r="H14" s="40">
        <f t="shared" ref="H14" si="9">IF(G14&gt;F14,G14-F14,F14-G14)</f>
        <v>0</v>
      </c>
      <c r="I14" s="41"/>
      <c r="J14" s="41"/>
      <c r="K14" s="41"/>
      <c r="L14" s="41"/>
      <c r="M14" s="32" t="s">
        <v>25</v>
      </c>
    </row>
    <row r="15" spans="1:13">
      <c r="A15" s="150" t="s">
        <v>30</v>
      </c>
      <c r="B15" s="13" t="s">
        <v>75</v>
      </c>
      <c r="C15" s="29">
        <v>0.25</v>
      </c>
      <c r="D15" s="17">
        <v>0.5</v>
      </c>
      <c r="E15" s="17">
        <f t="shared" ref="E15" si="10">IF(D15&gt;C15,D15-C15,C15-D15)</f>
        <v>0.25</v>
      </c>
      <c r="F15" s="17">
        <v>0.5</v>
      </c>
      <c r="G15" s="29">
        <v>0.58333333333333304</v>
      </c>
      <c r="H15" s="17">
        <f t="shared" ref="H15" si="11">IF(G15&gt;F15,G15-F15,F15-G15)</f>
        <v>8.3333333333333398E-2</v>
      </c>
      <c r="I15" s="17"/>
      <c r="J15" s="17"/>
      <c r="K15" s="17">
        <f t="shared" ref="K15" si="12">IF(J15&gt;I15,J15-I15,I15-J15)</f>
        <v>0</v>
      </c>
      <c r="L15" s="17">
        <f t="shared" ref="L15" si="13">E15+H15+K15</f>
        <v>0.33333333333333298</v>
      </c>
    </row>
    <row r="16" spans="1:13" s="50" customFormat="1">
      <c r="B16" s="65"/>
      <c r="C16" s="66"/>
      <c r="D16" s="66"/>
      <c r="E16" s="52">
        <f>SUM(E8:E15)</f>
        <v>1.0833333333333299</v>
      </c>
      <c r="F16" s="66"/>
      <c r="G16" s="66"/>
      <c r="H16" s="52">
        <f>SUM(H8:H15)</f>
        <v>0.25</v>
      </c>
      <c r="K16" s="52">
        <f>SUM(K8:K15)</f>
        <v>0.16666666666666699</v>
      </c>
      <c r="L16" s="15">
        <f>SUM(L8:L15)</f>
        <v>1.5</v>
      </c>
    </row>
    <row r="18" spans="1:13">
      <c r="C18" s="2" t="str">
        <f>+C5</f>
        <v>PATISSERIE &amp; PIZZA</v>
      </c>
      <c r="G18" s="5" t="s">
        <v>32</v>
      </c>
      <c r="H18" s="6">
        <f>+H5+1</f>
        <v>46245</v>
      </c>
    </row>
    <row r="19" spans="1:13">
      <c r="C19" s="168" t="s">
        <v>3</v>
      </c>
      <c r="D19" s="168"/>
      <c r="E19" s="168"/>
      <c r="F19" s="169" t="s">
        <v>4</v>
      </c>
      <c r="G19" s="169"/>
      <c r="H19" s="169"/>
      <c r="I19" s="170" t="s">
        <v>5</v>
      </c>
      <c r="J19" s="170"/>
      <c r="K19" s="170"/>
    </row>
    <row r="20" spans="1:13">
      <c r="B20" s="7" t="s">
        <v>6</v>
      </c>
      <c r="C20" s="8" t="s">
        <v>7</v>
      </c>
      <c r="D20" s="8" t="s">
        <v>8</v>
      </c>
      <c r="E20" s="8" t="s">
        <v>9</v>
      </c>
      <c r="F20" s="9" t="s">
        <v>7</v>
      </c>
      <c r="G20" s="9" t="s">
        <v>8</v>
      </c>
      <c r="H20" s="9" t="s">
        <v>9</v>
      </c>
      <c r="I20" s="16" t="s">
        <v>7</v>
      </c>
      <c r="J20" s="16" t="s">
        <v>8</v>
      </c>
      <c r="K20" s="16" t="s">
        <v>9</v>
      </c>
      <c r="L20" s="7" t="s">
        <v>10</v>
      </c>
    </row>
    <row r="21" spans="1:13" s="32" customFormat="1">
      <c r="A21" s="150" t="s">
        <v>64</v>
      </c>
      <c r="B21" s="76" t="s">
        <v>65</v>
      </c>
      <c r="C21" s="40"/>
      <c r="D21" s="40"/>
      <c r="E21" s="40">
        <f t="shared" ref="E21" si="14">IF(D21&gt;C21,D21-C21,C21-D21)</f>
        <v>0</v>
      </c>
      <c r="F21" s="40"/>
      <c r="G21" s="40"/>
      <c r="H21" s="40">
        <f t="shared" ref="H21" si="15">IF(G21&gt;F21,G21-F21,F21-G21)</f>
        <v>0</v>
      </c>
      <c r="I21" s="41"/>
      <c r="J21" s="41"/>
      <c r="K21" s="40">
        <f t="shared" ref="K21" si="16">IF(J21&gt;I21,J21-I21,I21-J21)</f>
        <v>0</v>
      </c>
      <c r="L21" s="55">
        <f t="shared" ref="L21" si="17">E21+H21+K21</f>
        <v>0</v>
      </c>
      <c r="M21" s="32" t="s">
        <v>25</v>
      </c>
    </row>
    <row r="22" spans="1:13">
      <c r="A22" s="150" t="s">
        <v>66</v>
      </c>
      <c r="B22" s="76" t="s">
        <v>67</v>
      </c>
      <c r="C22" s="29">
        <v>0.1875</v>
      </c>
      <c r="D22" s="29">
        <v>0.52083333333333304</v>
      </c>
      <c r="E22" s="17">
        <f t="shared" ref="E22:E23" si="18">IF(D22&gt;C22,D22-C22,C22-D22)</f>
        <v>0.33333333333333298</v>
      </c>
      <c r="F22" s="17"/>
      <c r="G22" s="17"/>
      <c r="H22" s="17">
        <f t="shared" ref="H22:H23" si="19">IF(G22&gt;F22,G22-F22,F22-G22)</f>
        <v>0</v>
      </c>
      <c r="I22" s="17"/>
      <c r="J22" s="17"/>
      <c r="K22" s="17">
        <f t="shared" ref="K22:K23" si="20">IF(J22&gt;I22,J22-I22,I22-J22)</f>
        <v>0</v>
      </c>
      <c r="L22" s="17">
        <f t="shared" ref="L22:L23" si="21">E22+H22+K22</f>
        <v>0.33333333333333298</v>
      </c>
    </row>
    <row r="23" spans="1:13">
      <c r="A23" s="150"/>
      <c r="B23" s="76" t="s">
        <v>71</v>
      </c>
      <c r="C23" s="29">
        <v>0.1875</v>
      </c>
      <c r="D23" s="17">
        <v>0.52083333333333304</v>
      </c>
      <c r="E23" s="17">
        <f t="shared" si="18"/>
        <v>0.33333333333333298</v>
      </c>
      <c r="F23" s="17"/>
      <c r="G23" s="29"/>
      <c r="H23" s="17">
        <f t="shared" si="19"/>
        <v>0</v>
      </c>
      <c r="I23" s="17"/>
      <c r="J23" s="17"/>
      <c r="K23" s="17">
        <f t="shared" si="20"/>
        <v>0</v>
      </c>
      <c r="L23" s="17">
        <f t="shared" si="21"/>
        <v>0.33333333333333298</v>
      </c>
    </row>
    <row r="24" spans="1:13">
      <c r="A24" s="150"/>
      <c r="B24" s="76" t="s">
        <v>70</v>
      </c>
      <c r="C24" s="29">
        <v>0.1875</v>
      </c>
      <c r="D24" s="29">
        <v>0.52083333333333304</v>
      </c>
      <c r="E24" s="17">
        <f t="shared" ref="E24" si="22">IF(D24&gt;C24,D24-C24,C24-D24)</f>
        <v>0.33333333333333298</v>
      </c>
      <c r="F24" s="17"/>
      <c r="G24" s="17"/>
      <c r="H24" s="17">
        <f t="shared" ref="H24" si="23">IF(G24&gt;F24,G24-F24,F24-G24)</f>
        <v>0</v>
      </c>
      <c r="I24" s="17"/>
      <c r="J24" s="17"/>
      <c r="K24" s="17">
        <f t="shared" ref="K24" si="24">IF(J24&gt;I24,J24-I24,I24-J24)</f>
        <v>0</v>
      </c>
      <c r="L24" s="17">
        <f t="shared" ref="L24" si="25">E24+H24+K24</f>
        <v>0.33333333333333298</v>
      </c>
    </row>
    <row r="25" spans="1:13">
      <c r="A25" s="150" t="s">
        <v>68</v>
      </c>
      <c r="B25" s="13" t="s">
        <v>69</v>
      </c>
      <c r="C25" s="40"/>
      <c r="D25" s="40"/>
      <c r="E25" s="40">
        <f t="shared" ref="E25:E28" si="26">IF(D25&gt;C25,D25-C25,C25-D25)</f>
        <v>0</v>
      </c>
      <c r="F25" s="40"/>
      <c r="G25" s="40"/>
      <c r="H25" s="40">
        <f t="shared" ref="H25:H28" si="27">IF(G25&gt;F25,G25-F25,F25-G25)</f>
        <v>0</v>
      </c>
      <c r="I25" s="41"/>
      <c r="J25" s="41"/>
      <c r="K25" s="40">
        <f t="shared" ref="K25:K28" si="28">IF(J25&gt;I25,J25-I25,I25-J25)</f>
        <v>0</v>
      </c>
      <c r="L25" s="55">
        <f t="shared" ref="L25:L28" si="29">E25+H25+K25</f>
        <v>0</v>
      </c>
      <c r="M25" s="32" t="s">
        <v>25</v>
      </c>
    </row>
    <row r="26" spans="1:13">
      <c r="A26" t="s">
        <v>72</v>
      </c>
      <c r="B26" s="151" t="s">
        <v>73</v>
      </c>
      <c r="C26" s="29">
        <v>0.41666666666666702</v>
      </c>
      <c r="D26" s="152">
        <v>0.58333333333333304</v>
      </c>
      <c r="E26" s="17">
        <f t="shared" si="26"/>
        <v>0.16666666666666699</v>
      </c>
      <c r="F26" s="29">
        <v>0.58333333333333304</v>
      </c>
      <c r="G26" s="29">
        <v>0.75</v>
      </c>
      <c r="H26" s="17">
        <f t="shared" si="27"/>
        <v>0.16666666666666699</v>
      </c>
      <c r="I26" s="29">
        <v>0.75</v>
      </c>
      <c r="J26" s="29">
        <v>0.91666666666666696</v>
      </c>
      <c r="K26" s="17">
        <f t="shared" si="28"/>
        <v>0.16666666666666699</v>
      </c>
      <c r="L26" s="17">
        <f t="shared" si="29"/>
        <v>0.5</v>
      </c>
    </row>
    <row r="27" spans="1:13">
      <c r="A27" s="150" t="s">
        <v>30</v>
      </c>
      <c r="B27" s="13" t="s">
        <v>75</v>
      </c>
      <c r="C27" s="29">
        <v>0.25</v>
      </c>
      <c r="D27" s="17">
        <v>0.5</v>
      </c>
      <c r="E27" s="17">
        <f t="shared" si="26"/>
        <v>0.25</v>
      </c>
      <c r="F27" s="17">
        <v>0.5</v>
      </c>
      <c r="G27" s="29">
        <v>0.58333333333333304</v>
      </c>
      <c r="H27" s="17">
        <f t="shared" si="27"/>
        <v>8.3333333333333398E-2</v>
      </c>
      <c r="I27" s="17"/>
      <c r="J27" s="17"/>
      <c r="K27" s="17">
        <f t="shared" si="28"/>
        <v>0</v>
      </c>
      <c r="L27" s="17">
        <f t="shared" si="29"/>
        <v>0.33333333333333298</v>
      </c>
    </row>
    <row r="28" spans="1:13">
      <c r="A28" s="150" t="s">
        <v>30</v>
      </c>
      <c r="B28" s="13" t="s">
        <v>74</v>
      </c>
      <c r="C28" s="29">
        <v>0.25</v>
      </c>
      <c r="D28" s="17">
        <v>0.5</v>
      </c>
      <c r="E28" s="17">
        <f t="shared" si="26"/>
        <v>0.25</v>
      </c>
      <c r="F28" s="17">
        <v>0.5</v>
      </c>
      <c r="G28" s="29">
        <v>0.58333333333333304</v>
      </c>
      <c r="H28" s="17">
        <f t="shared" si="27"/>
        <v>8.3333333333333398E-2</v>
      </c>
      <c r="I28" s="17"/>
      <c r="J28" s="17"/>
      <c r="K28" s="17">
        <f t="shared" si="28"/>
        <v>0</v>
      </c>
      <c r="L28" s="17">
        <f t="shared" si="29"/>
        <v>0.33333333333333298</v>
      </c>
    </row>
    <row r="29" spans="1:13" s="50" customFormat="1">
      <c r="C29" s="66"/>
      <c r="D29" s="66"/>
      <c r="E29" s="52">
        <f>SUM(E21:E28)</f>
        <v>1.6666666666666701</v>
      </c>
      <c r="F29" s="66"/>
      <c r="G29" s="66"/>
      <c r="H29" s="52">
        <f>SUM(H21:H28)</f>
        <v>0.33333333333333298</v>
      </c>
      <c r="K29" s="52">
        <f>SUM(K21:K28)</f>
        <v>0.16666666666666699</v>
      </c>
      <c r="L29" s="15">
        <f>SUM(L21:L28)</f>
        <v>2.1666666666666701</v>
      </c>
    </row>
    <row r="31" spans="1:13">
      <c r="C31" s="2" t="str">
        <f>+C18</f>
        <v>PATISSERIE &amp; PIZZA</v>
      </c>
      <c r="D31" s="18"/>
      <c r="F31" s="18"/>
      <c r="G31" s="5" t="s">
        <v>34</v>
      </c>
      <c r="H31" s="6">
        <f>+H18+1</f>
        <v>46246</v>
      </c>
    </row>
    <row r="32" spans="1:13">
      <c r="C32" s="168" t="s">
        <v>3</v>
      </c>
      <c r="D32" s="168"/>
      <c r="E32" s="168"/>
      <c r="F32" s="169" t="s">
        <v>4</v>
      </c>
      <c r="G32" s="169"/>
      <c r="H32" s="169"/>
      <c r="I32" s="170" t="s">
        <v>5</v>
      </c>
      <c r="J32" s="170"/>
      <c r="K32" s="170"/>
    </row>
    <row r="33" spans="1:13">
      <c r="B33" s="7" t="s">
        <v>6</v>
      </c>
      <c r="C33" s="8" t="s">
        <v>7</v>
      </c>
      <c r="D33" s="8" t="s">
        <v>8</v>
      </c>
      <c r="E33" s="8" t="s">
        <v>9</v>
      </c>
      <c r="F33" s="9" t="s">
        <v>7</v>
      </c>
      <c r="G33" s="9" t="s">
        <v>8</v>
      </c>
      <c r="H33" s="9" t="s">
        <v>9</v>
      </c>
      <c r="I33" s="16" t="s">
        <v>7</v>
      </c>
      <c r="J33" s="16" t="s">
        <v>8</v>
      </c>
      <c r="K33" s="16" t="s">
        <v>9</v>
      </c>
      <c r="L33" s="7" t="s">
        <v>10</v>
      </c>
    </row>
    <row r="34" spans="1:13">
      <c r="A34" t="s">
        <v>64</v>
      </c>
      <c r="B34" s="76" t="s">
        <v>65</v>
      </c>
      <c r="C34" s="29">
        <v>0.1875</v>
      </c>
      <c r="D34" s="29">
        <v>0.52083333333333304</v>
      </c>
      <c r="E34" s="17">
        <f t="shared" ref="E34" si="30">IF(D34&gt;C34,D34-C34,C34-D34)</f>
        <v>0.33333333333333298</v>
      </c>
      <c r="F34" s="17"/>
      <c r="G34" s="17"/>
      <c r="H34" s="17">
        <f t="shared" ref="H34" si="31">IF(G34&gt;F34,G34-F34,F34-G34)</f>
        <v>0</v>
      </c>
      <c r="I34" s="17"/>
      <c r="J34" s="17"/>
      <c r="K34" s="17">
        <f t="shared" ref="K34" si="32">IF(J34&gt;I34,J34-I34,I34-J34)</f>
        <v>0</v>
      </c>
      <c r="L34" s="17">
        <f t="shared" ref="L34" si="33">E34+H34+K34</f>
        <v>0.33333333333333298</v>
      </c>
    </row>
    <row r="35" spans="1:13" s="32" customFormat="1">
      <c r="A35" s="32" t="s">
        <v>66</v>
      </c>
      <c r="B35" s="76" t="s">
        <v>67</v>
      </c>
      <c r="C35" s="29">
        <v>0.1875</v>
      </c>
      <c r="D35" s="29">
        <v>0.52083333333333304</v>
      </c>
      <c r="E35" s="17">
        <f t="shared" ref="E35:E36" si="34">IF(D35&gt;C35,D35-C35,C35-D35)</f>
        <v>0.33333333333333298</v>
      </c>
      <c r="F35" s="17"/>
      <c r="G35" s="17"/>
      <c r="H35" s="17">
        <f t="shared" ref="H35:H41" si="35">IF(G35&gt;F35,G35-F35,F35-G35)</f>
        <v>0</v>
      </c>
      <c r="I35" s="17"/>
      <c r="J35" s="17"/>
      <c r="K35" s="17">
        <f t="shared" ref="K35:K41" si="36">IF(J35&gt;I35,J35-I35,I35-J35)</f>
        <v>0</v>
      </c>
      <c r="L35" s="17">
        <f t="shared" ref="L35:L41" si="37">E35+H35+K35</f>
        <v>0.33333333333333298</v>
      </c>
      <c r="M35"/>
    </row>
    <row r="36" spans="1:13" s="32" customFormat="1">
      <c r="B36" s="76" t="s">
        <v>70</v>
      </c>
      <c r="C36" s="40"/>
      <c r="D36" s="40"/>
      <c r="E36" s="40">
        <f t="shared" si="34"/>
        <v>0</v>
      </c>
      <c r="F36" s="40"/>
      <c r="G36" s="40"/>
      <c r="H36" s="40">
        <f t="shared" ref="H36" si="38">IF(G36&gt;F36,G36-F36,F36-G36)</f>
        <v>0</v>
      </c>
      <c r="I36" s="41"/>
      <c r="J36" s="41"/>
      <c r="K36" s="40">
        <f t="shared" ref="K36" si="39">IF(J36&gt;I36,J36-I36,I36-J36)</f>
        <v>0</v>
      </c>
      <c r="L36" s="55">
        <f t="shared" ref="L36" si="40">E36+H36+K36</f>
        <v>0</v>
      </c>
      <c r="M36" s="32" t="s">
        <v>25</v>
      </c>
    </row>
    <row r="37" spans="1:13" s="32" customFormat="1">
      <c r="B37" s="76" t="s">
        <v>71</v>
      </c>
      <c r="C37" s="29">
        <v>0.1875</v>
      </c>
      <c r="D37" s="29">
        <v>0.52083333333333304</v>
      </c>
      <c r="E37" s="17">
        <f t="shared" ref="E37:E38" si="41">IF(D37&gt;C37,D37-C37,C37-D37)</f>
        <v>0.33333333333333298</v>
      </c>
      <c r="F37" s="17"/>
      <c r="G37" s="17"/>
      <c r="H37" s="17">
        <f t="shared" ref="H37:H38" si="42">IF(G37&gt;F37,G37-F37,F37-G37)</f>
        <v>0</v>
      </c>
      <c r="I37" s="17"/>
      <c r="J37" s="17"/>
      <c r="K37" s="17">
        <f t="shared" ref="K37:K38" si="43">IF(J37&gt;I37,J37-I37,I37-J37)</f>
        <v>0</v>
      </c>
      <c r="L37" s="17">
        <f t="shared" ref="L37:L38" si="44">E37+H37+K37</f>
        <v>0.33333333333333298</v>
      </c>
      <c r="M37"/>
    </row>
    <row r="38" spans="1:13">
      <c r="A38" t="s">
        <v>68</v>
      </c>
      <c r="B38" s="13" t="s">
        <v>69</v>
      </c>
      <c r="C38" s="40"/>
      <c r="D38" s="40"/>
      <c r="E38" s="40">
        <f t="shared" si="41"/>
        <v>0</v>
      </c>
      <c r="F38" s="40"/>
      <c r="G38" s="40"/>
      <c r="H38" s="40">
        <f t="shared" si="42"/>
        <v>0</v>
      </c>
      <c r="I38" s="41"/>
      <c r="J38" s="41"/>
      <c r="K38" s="40">
        <f t="shared" si="43"/>
        <v>0</v>
      </c>
      <c r="L38" s="55">
        <f t="shared" si="44"/>
        <v>0</v>
      </c>
      <c r="M38" s="32" t="s">
        <v>25</v>
      </c>
    </row>
    <row r="39" spans="1:13">
      <c r="A39" t="s">
        <v>72</v>
      </c>
      <c r="B39" s="151" t="s">
        <v>73</v>
      </c>
      <c r="C39" s="29">
        <v>0.41666666666666702</v>
      </c>
      <c r="D39" s="152">
        <v>0.58333333333333304</v>
      </c>
      <c r="E39" s="17">
        <f t="shared" ref="E39:E41" si="45">IF(D39&gt;C39,D39-C39,C39-D39)</f>
        <v>0.16666666666666699</v>
      </c>
      <c r="F39" s="17">
        <v>0.58333333333333304</v>
      </c>
      <c r="G39" s="17">
        <v>0.75</v>
      </c>
      <c r="H39" s="17">
        <f t="shared" si="35"/>
        <v>0.16666666666666699</v>
      </c>
      <c r="I39" s="17">
        <v>0.75</v>
      </c>
      <c r="J39" s="29">
        <v>0.91666666666666696</v>
      </c>
      <c r="K39" s="17">
        <f t="shared" si="36"/>
        <v>0.16666666666666699</v>
      </c>
      <c r="L39" s="17">
        <f t="shared" si="37"/>
        <v>0.5</v>
      </c>
    </row>
    <row r="40" spans="1:13">
      <c r="A40" s="150" t="s">
        <v>30</v>
      </c>
      <c r="B40" s="13" t="s">
        <v>75</v>
      </c>
      <c r="C40" s="40"/>
      <c r="D40" s="40"/>
      <c r="E40" s="40">
        <f t="shared" si="45"/>
        <v>0</v>
      </c>
      <c r="F40" s="40"/>
      <c r="G40" s="40"/>
      <c r="H40" s="40">
        <f t="shared" si="35"/>
        <v>0</v>
      </c>
      <c r="I40" s="41"/>
      <c r="J40" s="41"/>
      <c r="K40" s="40">
        <f t="shared" si="36"/>
        <v>0</v>
      </c>
      <c r="L40" s="55">
        <f t="shared" si="37"/>
        <v>0</v>
      </c>
      <c r="M40" s="32" t="s">
        <v>25</v>
      </c>
    </row>
    <row r="41" spans="1:13">
      <c r="A41" s="150" t="s">
        <v>30</v>
      </c>
      <c r="B41" s="13" t="s">
        <v>74</v>
      </c>
      <c r="C41" s="29">
        <v>0.25</v>
      </c>
      <c r="D41" s="17">
        <v>0.5</v>
      </c>
      <c r="E41" s="17">
        <f t="shared" si="45"/>
        <v>0.25</v>
      </c>
      <c r="F41" s="17">
        <v>0.5</v>
      </c>
      <c r="G41" s="29">
        <v>0.58333333333333304</v>
      </c>
      <c r="H41" s="17">
        <f t="shared" si="35"/>
        <v>8.3333333333333398E-2</v>
      </c>
      <c r="I41" s="17"/>
      <c r="J41" s="17"/>
      <c r="K41" s="17">
        <f t="shared" si="36"/>
        <v>0</v>
      </c>
      <c r="L41" s="17">
        <f t="shared" si="37"/>
        <v>0.33333333333333298</v>
      </c>
    </row>
    <row r="42" spans="1:13" s="50" customFormat="1">
      <c r="B42" s="65"/>
      <c r="C42" s="66"/>
      <c r="D42" s="66"/>
      <c r="E42" s="52">
        <f>SUM(E34:E41)</f>
        <v>1.4166666666666701</v>
      </c>
      <c r="F42" s="66"/>
      <c r="G42" s="66"/>
      <c r="H42" s="52">
        <f>SUM(H34:H41)</f>
        <v>0.25</v>
      </c>
      <c r="K42" s="52">
        <f>SUM(K34:K41)</f>
        <v>0.16666666666666699</v>
      </c>
      <c r="L42" s="15">
        <f>SUM(L34:L41)</f>
        <v>1.8333333333333299</v>
      </c>
    </row>
    <row r="43" spans="1:13">
      <c r="B43" s="68"/>
    </row>
    <row r="44" spans="1:13">
      <c r="C44" s="2" t="str">
        <f>+C31</f>
        <v>PATISSERIE &amp; PIZZA</v>
      </c>
      <c r="D44" s="18"/>
      <c r="F44" s="18"/>
      <c r="G44" s="5" t="s">
        <v>35</v>
      </c>
      <c r="H44" s="6">
        <f>+H31+1</f>
        <v>46247</v>
      </c>
    </row>
    <row r="45" spans="1:13">
      <c r="C45" s="168" t="s">
        <v>3</v>
      </c>
      <c r="D45" s="168"/>
      <c r="E45" s="168"/>
      <c r="F45" s="169" t="s">
        <v>4</v>
      </c>
      <c r="G45" s="169"/>
      <c r="H45" s="169"/>
      <c r="I45" s="170" t="s">
        <v>5</v>
      </c>
      <c r="J45" s="170"/>
      <c r="K45" s="170"/>
    </row>
    <row r="46" spans="1:13">
      <c r="B46" s="7" t="s">
        <v>6</v>
      </c>
      <c r="C46" s="8" t="s">
        <v>7</v>
      </c>
      <c r="D46" s="8" t="s">
        <v>8</v>
      </c>
      <c r="E46" s="8" t="s">
        <v>9</v>
      </c>
      <c r="F46" s="9" t="s">
        <v>7</v>
      </c>
      <c r="G46" s="9" t="s">
        <v>8</v>
      </c>
      <c r="H46" s="9" t="s">
        <v>9</v>
      </c>
      <c r="I46" s="16" t="s">
        <v>7</v>
      </c>
      <c r="J46" s="16" t="s">
        <v>8</v>
      </c>
      <c r="K46" s="16" t="s">
        <v>9</v>
      </c>
      <c r="L46" s="7" t="s">
        <v>10</v>
      </c>
    </row>
    <row r="47" spans="1:13">
      <c r="A47" t="s">
        <v>64</v>
      </c>
      <c r="B47" s="76" t="s">
        <v>65</v>
      </c>
      <c r="C47" s="29">
        <v>0.1875</v>
      </c>
      <c r="D47" s="29">
        <v>0.52083333333333304</v>
      </c>
      <c r="E47" s="17">
        <f t="shared" ref="E47:E54" si="46">IF(D47&gt;C47,D47-C47,C47-D47)</f>
        <v>0.33333333333333298</v>
      </c>
      <c r="F47" s="17"/>
      <c r="G47" s="17"/>
      <c r="H47" s="17">
        <f t="shared" ref="H47:H54" si="47">IF(G47&gt;F47,G47-F47,F47-G47)</f>
        <v>0</v>
      </c>
      <c r="I47" s="17"/>
      <c r="J47" s="17"/>
      <c r="K47" s="17">
        <f t="shared" ref="K47:K54" si="48">IF(J47&gt;I47,J47-I47,I47-J47)</f>
        <v>0</v>
      </c>
      <c r="L47" s="17">
        <f t="shared" ref="L47:L54" si="49">E47+H47+K47</f>
        <v>0.33333333333333298</v>
      </c>
    </row>
    <row r="48" spans="1:13">
      <c r="B48" s="76" t="s">
        <v>70</v>
      </c>
      <c r="C48" s="29">
        <v>0.1875</v>
      </c>
      <c r="D48" s="29">
        <v>0.52083333333333304</v>
      </c>
      <c r="E48" s="17">
        <f t="shared" si="46"/>
        <v>0.33333333333333298</v>
      </c>
      <c r="F48" s="17"/>
      <c r="G48" s="17"/>
      <c r="H48" s="17">
        <f t="shared" si="47"/>
        <v>0</v>
      </c>
      <c r="I48" s="17"/>
      <c r="J48" s="17"/>
      <c r="K48" s="17">
        <f t="shared" si="48"/>
        <v>0</v>
      </c>
      <c r="L48" s="17">
        <f t="shared" si="49"/>
        <v>0.33333333333333298</v>
      </c>
    </row>
    <row r="49" spans="1:13">
      <c r="B49" s="76" t="s">
        <v>71</v>
      </c>
      <c r="C49" s="29">
        <v>0.1875</v>
      </c>
      <c r="D49" s="29">
        <v>0.52083333333333304</v>
      </c>
      <c r="E49" s="17">
        <f t="shared" ref="E49" si="50">IF(D49&gt;C49,D49-C49,C49-D49)</f>
        <v>0.33333333333333298</v>
      </c>
      <c r="F49" s="17"/>
      <c r="G49" s="17"/>
      <c r="H49" s="17">
        <f t="shared" ref="H49" si="51">IF(G49&gt;F49,G49-F49,F49-G49)</f>
        <v>0</v>
      </c>
      <c r="I49" s="17"/>
      <c r="J49" s="17"/>
      <c r="K49" s="17">
        <f t="shared" ref="K49" si="52">IF(J49&gt;I49,J49-I49,I49-J49)</f>
        <v>0</v>
      </c>
      <c r="L49" s="17">
        <f t="shared" ref="L49" si="53">E49+H49+K49</f>
        <v>0.33333333333333298</v>
      </c>
    </row>
    <row r="50" spans="1:13">
      <c r="A50" t="s">
        <v>66</v>
      </c>
      <c r="B50" s="76" t="s">
        <v>67</v>
      </c>
      <c r="C50" s="40"/>
      <c r="D50" s="40"/>
      <c r="E50" s="40">
        <f t="shared" ref="E50" si="54">IF(D50&gt;C50,D50-C50,C50-D50)</f>
        <v>0</v>
      </c>
      <c r="F50" s="40"/>
      <c r="G50" s="40"/>
      <c r="H50" s="40">
        <f t="shared" ref="H50" si="55">IF(G50&gt;F50,G50-F50,F50-G50)</f>
        <v>0</v>
      </c>
      <c r="I50" s="41"/>
      <c r="J50" s="41"/>
      <c r="K50" s="40">
        <f t="shared" ref="K50" si="56">IF(J50&gt;I50,J50-I50,I50-J50)</f>
        <v>0</v>
      </c>
      <c r="L50" s="55">
        <f t="shared" ref="L50" si="57">E50+H50+K50</f>
        <v>0</v>
      </c>
      <c r="M50" s="32" t="s">
        <v>25</v>
      </c>
    </row>
    <row r="51" spans="1:13">
      <c r="A51" t="s">
        <v>68</v>
      </c>
      <c r="B51" s="151" t="s">
        <v>69</v>
      </c>
      <c r="C51" s="29">
        <v>0.41666666666666702</v>
      </c>
      <c r="D51" s="152">
        <v>0.58333333333333304</v>
      </c>
      <c r="E51" s="17">
        <f t="shared" si="46"/>
        <v>0.16666666666666699</v>
      </c>
      <c r="F51" s="17"/>
      <c r="G51" s="17"/>
      <c r="H51" s="17">
        <f t="shared" si="47"/>
        <v>0</v>
      </c>
      <c r="I51" s="17">
        <v>0.75</v>
      </c>
      <c r="J51" s="29">
        <v>0.91666666666666696</v>
      </c>
      <c r="K51" s="17">
        <f t="shared" si="48"/>
        <v>0.16666666666666699</v>
      </c>
      <c r="L51" s="17">
        <f t="shared" si="49"/>
        <v>0.33333333333333298</v>
      </c>
    </row>
    <row r="52" spans="1:13">
      <c r="A52" t="s">
        <v>72</v>
      </c>
      <c r="B52" s="13" t="s">
        <v>73</v>
      </c>
      <c r="C52" s="29"/>
      <c r="D52" s="152"/>
      <c r="E52" s="17">
        <f t="shared" ref="E52:E53" si="58">IF(D52&gt;C52,D52-C52,C52-D52)</f>
        <v>0</v>
      </c>
      <c r="F52" s="29">
        <v>0.58333333333333304</v>
      </c>
      <c r="G52" s="17">
        <v>0.75</v>
      </c>
      <c r="H52" s="17">
        <f t="shared" si="47"/>
        <v>0.16666666666666699</v>
      </c>
      <c r="I52" s="17">
        <v>0.75</v>
      </c>
      <c r="J52" s="29">
        <v>0.91666666666666696</v>
      </c>
      <c r="K52" s="17">
        <f t="shared" ref="K52:K53" si="59">IF(J52&gt;I52,J52-I52,I52-J52)</f>
        <v>0.16666666666666699</v>
      </c>
      <c r="L52" s="17">
        <f t="shared" ref="L52:L53" si="60">E52+H52+K52</f>
        <v>0.33333333333333298</v>
      </c>
    </row>
    <row r="53" spans="1:13">
      <c r="A53" s="150" t="s">
        <v>30</v>
      </c>
      <c r="B53" s="13" t="s">
        <v>75</v>
      </c>
      <c r="C53" s="29">
        <v>0.25</v>
      </c>
      <c r="D53" s="17">
        <v>0.5</v>
      </c>
      <c r="E53" s="17">
        <f t="shared" si="58"/>
        <v>0.25</v>
      </c>
      <c r="F53" s="17">
        <v>0.5</v>
      </c>
      <c r="G53" s="29">
        <v>0.58333333333333304</v>
      </c>
      <c r="H53" s="17">
        <f t="shared" ref="H53" si="61">IF(G53&gt;F53,G53-F53,F53-G53)</f>
        <v>8.3333333333333398E-2</v>
      </c>
      <c r="I53" s="17"/>
      <c r="J53" s="17"/>
      <c r="K53" s="17">
        <f t="shared" si="59"/>
        <v>0</v>
      </c>
      <c r="L53" s="17">
        <f t="shared" si="60"/>
        <v>0.33333333333333298</v>
      </c>
    </row>
    <row r="54" spans="1:13">
      <c r="A54" s="150" t="s">
        <v>30</v>
      </c>
      <c r="B54" s="13" t="s">
        <v>74</v>
      </c>
      <c r="C54" s="29">
        <v>0.25</v>
      </c>
      <c r="D54" s="17">
        <v>0.5</v>
      </c>
      <c r="E54" s="17">
        <f t="shared" si="46"/>
        <v>0.25</v>
      </c>
      <c r="F54" s="17">
        <v>0.5</v>
      </c>
      <c r="G54" s="29">
        <v>0.58333333333333304</v>
      </c>
      <c r="H54" s="17">
        <f t="shared" si="47"/>
        <v>8.3333333333333398E-2</v>
      </c>
      <c r="I54" s="17"/>
      <c r="J54" s="17"/>
      <c r="K54" s="17">
        <f t="shared" si="48"/>
        <v>0</v>
      </c>
      <c r="L54" s="17">
        <f t="shared" si="49"/>
        <v>0.33333333333333298</v>
      </c>
    </row>
    <row r="55" spans="1:13">
      <c r="B55" s="65"/>
      <c r="C55" s="66"/>
      <c r="D55" s="66"/>
      <c r="E55" s="52">
        <f>SUM(E47:E54)</f>
        <v>1.6666666666666701</v>
      </c>
      <c r="F55" s="66"/>
      <c r="G55" s="66"/>
      <c r="H55" s="52">
        <f>SUM(H47:H54)</f>
        <v>0.33333333333333298</v>
      </c>
      <c r="I55" s="50"/>
      <c r="J55" s="50"/>
      <c r="K55" s="52">
        <f>SUM(K47:K54)</f>
        <v>0.33333333333333298</v>
      </c>
      <c r="L55" s="15">
        <f>SUM(L47:L54)</f>
        <v>2.3333333333333299</v>
      </c>
    </row>
    <row r="56" spans="1:13">
      <c r="B56" s="68"/>
      <c r="E56" s="21"/>
      <c r="H56" s="21"/>
      <c r="K56" s="21"/>
      <c r="L56" s="21"/>
    </row>
    <row r="57" spans="1:13">
      <c r="C57" s="2" t="str">
        <f>+C44</f>
        <v>PATISSERIE &amp; PIZZA</v>
      </c>
      <c r="D57" s="18"/>
      <c r="F57" s="18"/>
      <c r="G57" s="5" t="s">
        <v>36</v>
      </c>
      <c r="H57" s="6">
        <f>+H44+1</f>
        <v>46248</v>
      </c>
    </row>
    <row r="58" spans="1:13"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</row>
    <row r="59" spans="1:13"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3">
      <c r="A60" t="s">
        <v>64</v>
      </c>
      <c r="B60" s="76" t="s">
        <v>65</v>
      </c>
      <c r="C60" s="29">
        <v>0.1875</v>
      </c>
      <c r="D60" s="29">
        <v>0.52083333333333304</v>
      </c>
      <c r="E60" s="17">
        <f t="shared" ref="E60:E61" si="62">IF(D60&gt;C60,D60-C60,C60-D60)</f>
        <v>0.33333333333333298</v>
      </c>
      <c r="F60" s="17"/>
      <c r="G60" s="17"/>
      <c r="H60" s="17">
        <f t="shared" ref="H60:H67" si="63">IF(G60&gt;F60,G60-F60,F60-G60)</f>
        <v>0</v>
      </c>
      <c r="I60" s="17"/>
      <c r="J60" s="17"/>
      <c r="K60" s="17">
        <f t="shared" ref="K60:K67" si="64">IF(J60&gt;I60,J60-I60,I60-J60)</f>
        <v>0</v>
      </c>
      <c r="L60" s="17">
        <f t="shared" ref="L60:L67" si="65">E60+H60+K60</f>
        <v>0.33333333333333298</v>
      </c>
    </row>
    <row r="61" spans="1:13">
      <c r="B61" s="76" t="s">
        <v>70</v>
      </c>
      <c r="C61" s="29">
        <v>0.25</v>
      </c>
      <c r="D61" s="29">
        <v>0.58333333333333304</v>
      </c>
      <c r="E61" s="17">
        <f t="shared" si="62"/>
        <v>0.33333333333333298</v>
      </c>
      <c r="F61" s="17"/>
      <c r="G61" s="17"/>
      <c r="H61" s="17">
        <f t="shared" si="63"/>
        <v>0</v>
      </c>
      <c r="I61" s="17"/>
      <c r="J61" s="17"/>
      <c r="K61" s="17">
        <f t="shared" si="64"/>
        <v>0</v>
      </c>
      <c r="L61" s="17">
        <f t="shared" si="65"/>
        <v>0.33333333333333298</v>
      </c>
    </row>
    <row r="62" spans="1:13">
      <c r="B62" s="76" t="s">
        <v>71</v>
      </c>
      <c r="C62" s="29">
        <v>0.1875</v>
      </c>
      <c r="D62" s="29">
        <v>0.52083333333333304</v>
      </c>
      <c r="E62" s="17">
        <f t="shared" ref="E62:E63" si="66">IF(D62&gt;C62,D62-C62,C62-D62)</f>
        <v>0.33333333333333298</v>
      </c>
      <c r="F62" s="17"/>
      <c r="G62" s="17"/>
      <c r="H62" s="17">
        <f t="shared" ref="H62:H63" si="67">IF(G62&gt;F62,G62-F62,F62-G62)</f>
        <v>0</v>
      </c>
      <c r="I62" s="17"/>
      <c r="J62" s="17"/>
      <c r="K62" s="17">
        <f t="shared" ref="K62:K63" si="68">IF(J62&gt;I62,J62-I62,I62-J62)</f>
        <v>0</v>
      </c>
      <c r="L62" s="17">
        <f t="shared" ref="L62:L63" si="69">E62+H62+K62</f>
        <v>0.33333333333333298</v>
      </c>
    </row>
    <row r="63" spans="1:13">
      <c r="A63" t="s">
        <v>66</v>
      </c>
      <c r="B63" s="76" t="s">
        <v>67</v>
      </c>
      <c r="C63" s="29">
        <v>0.1875</v>
      </c>
      <c r="D63" s="29">
        <v>0.52083333333333304</v>
      </c>
      <c r="E63" s="17">
        <f t="shared" si="66"/>
        <v>0.33333333333333298</v>
      </c>
      <c r="F63" s="17"/>
      <c r="G63" s="17"/>
      <c r="H63" s="17">
        <f t="shared" si="67"/>
        <v>0</v>
      </c>
      <c r="I63" s="17"/>
      <c r="J63" s="17"/>
      <c r="K63" s="17">
        <f t="shared" si="68"/>
        <v>0</v>
      </c>
      <c r="L63" s="17">
        <f t="shared" si="69"/>
        <v>0.33333333333333298</v>
      </c>
      <c r="M63" s="32" t="s">
        <v>25</v>
      </c>
    </row>
    <row r="64" spans="1:13">
      <c r="A64" t="s">
        <v>68</v>
      </c>
      <c r="B64" s="13" t="s">
        <v>69</v>
      </c>
      <c r="C64" s="17"/>
      <c r="D64" s="17"/>
      <c r="E64" s="17">
        <f t="shared" ref="E64:E67" si="70">IF(D64&gt;C64,D64-C64,C64-D64)</f>
        <v>0</v>
      </c>
      <c r="F64" s="29">
        <v>0.58333333333333304</v>
      </c>
      <c r="G64" s="17">
        <v>0.75</v>
      </c>
      <c r="H64" s="17">
        <f t="shared" si="63"/>
        <v>0.16666666666666699</v>
      </c>
      <c r="I64" s="17">
        <v>0.75</v>
      </c>
      <c r="J64" s="29">
        <v>0.91666666666666696</v>
      </c>
      <c r="K64" s="17">
        <f t="shared" si="64"/>
        <v>0.16666666666666699</v>
      </c>
      <c r="L64" s="17">
        <f t="shared" si="65"/>
        <v>0.33333333333333298</v>
      </c>
    </row>
    <row r="65" spans="1:12">
      <c r="A65" t="s">
        <v>72</v>
      </c>
      <c r="B65" s="151" t="s">
        <v>73</v>
      </c>
      <c r="C65" s="29">
        <v>0.41666666666666702</v>
      </c>
      <c r="D65" s="152">
        <v>0.58333333333333304</v>
      </c>
      <c r="E65" s="17">
        <f t="shared" si="70"/>
        <v>0.16666666666666699</v>
      </c>
      <c r="F65" s="17"/>
      <c r="G65" s="17"/>
      <c r="H65" s="17">
        <f t="shared" si="63"/>
        <v>0</v>
      </c>
      <c r="I65" s="29">
        <v>0.75</v>
      </c>
      <c r="J65" s="29">
        <v>0.91666666666666696</v>
      </c>
      <c r="K65" s="17">
        <f t="shared" si="64"/>
        <v>0.16666666666666699</v>
      </c>
      <c r="L65" s="17">
        <f t="shared" si="65"/>
        <v>0.33333333333333298</v>
      </c>
    </row>
    <row r="66" spans="1:12">
      <c r="A66" s="150" t="s">
        <v>30</v>
      </c>
      <c r="B66" s="13" t="s">
        <v>75</v>
      </c>
      <c r="C66" s="29">
        <v>0.25</v>
      </c>
      <c r="D66" s="17">
        <v>0.5</v>
      </c>
      <c r="E66" s="17">
        <f t="shared" si="70"/>
        <v>0.25</v>
      </c>
      <c r="F66" s="17">
        <v>0.5</v>
      </c>
      <c r="G66" s="29">
        <v>0.58333333333333304</v>
      </c>
      <c r="H66" s="17">
        <f t="shared" si="63"/>
        <v>8.3333333333333398E-2</v>
      </c>
      <c r="I66" s="17"/>
      <c r="J66" s="17"/>
      <c r="K66" s="17">
        <f t="shared" si="64"/>
        <v>0</v>
      </c>
      <c r="L66" s="17">
        <f t="shared" si="65"/>
        <v>0.33333333333333298</v>
      </c>
    </row>
    <row r="67" spans="1:12">
      <c r="A67" s="150" t="s">
        <v>30</v>
      </c>
      <c r="B67" s="13" t="s">
        <v>74</v>
      </c>
      <c r="C67" s="29">
        <v>0.25</v>
      </c>
      <c r="D67" s="17">
        <v>0.5</v>
      </c>
      <c r="E67" s="17">
        <f t="shared" si="70"/>
        <v>0.25</v>
      </c>
      <c r="F67" s="17">
        <v>0.5</v>
      </c>
      <c r="G67" s="29">
        <v>0.58333333333333304</v>
      </c>
      <c r="H67" s="17">
        <f t="shared" si="63"/>
        <v>8.3333333333333398E-2</v>
      </c>
      <c r="I67" s="17"/>
      <c r="J67" s="17"/>
      <c r="K67" s="17">
        <f t="shared" si="64"/>
        <v>0</v>
      </c>
      <c r="L67" s="17">
        <f t="shared" si="65"/>
        <v>0.33333333333333298</v>
      </c>
    </row>
    <row r="68" spans="1:12">
      <c r="B68" s="65"/>
      <c r="C68" s="66"/>
      <c r="D68" s="66"/>
      <c r="E68" s="52">
        <f>SUM(E60:E67)</f>
        <v>2</v>
      </c>
      <c r="F68" s="66"/>
      <c r="G68" s="66"/>
      <c r="H68" s="52">
        <f>SUM(H60:H67)</f>
        <v>0.33333333333333298</v>
      </c>
      <c r="I68" s="50"/>
      <c r="J68" s="50"/>
      <c r="K68" s="52">
        <f>SUM(K60:K67)</f>
        <v>0.33333333333333298</v>
      </c>
      <c r="L68" s="15">
        <f>SUM(L60:L66)</f>
        <v>2.3333333333333299</v>
      </c>
    </row>
    <row r="69" spans="1:12">
      <c r="B69" s="68"/>
    </row>
    <row r="70" spans="1:12">
      <c r="C70" s="2" t="str">
        <f>+C57</f>
        <v>PATISSERIE &amp; PIZZA</v>
      </c>
      <c r="D70" s="18"/>
      <c r="F70" s="18"/>
      <c r="G70" s="5" t="s">
        <v>37</v>
      </c>
      <c r="H70" s="6">
        <f>+H57+1</f>
        <v>46249</v>
      </c>
    </row>
    <row r="71" spans="1:12">
      <c r="C71" s="168" t="s">
        <v>3</v>
      </c>
      <c r="D71" s="168"/>
      <c r="E71" s="168"/>
      <c r="F71" s="169" t="s">
        <v>4</v>
      </c>
      <c r="G71" s="169"/>
      <c r="H71" s="169"/>
      <c r="I71" s="170" t="s">
        <v>5</v>
      </c>
      <c r="J71" s="170"/>
      <c r="K71" s="170"/>
    </row>
    <row r="72" spans="1:12">
      <c r="B72" s="7" t="s">
        <v>6</v>
      </c>
      <c r="C72" s="8" t="s">
        <v>7</v>
      </c>
      <c r="D72" s="8" t="s">
        <v>8</v>
      </c>
      <c r="E72" s="8" t="s">
        <v>9</v>
      </c>
      <c r="F72" s="9" t="s">
        <v>7</v>
      </c>
      <c r="G72" s="9" t="s">
        <v>8</v>
      </c>
      <c r="H72" s="9" t="s">
        <v>9</v>
      </c>
      <c r="I72" s="16" t="s">
        <v>7</v>
      </c>
      <c r="J72" s="16" t="s">
        <v>8</v>
      </c>
      <c r="K72" s="16" t="s">
        <v>9</v>
      </c>
      <c r="L72" s="7" t="s">
        <v>10</v>
      </c>
    </row>
    <row r="73" spans="1:12">
      <c r="B73" s="153"/>
      <c r="C73" s="8"/>
      <c r="D73" s="8"/>
      <c r="E73" s="8"/>
      <c r="F73" s="9"/>
      <c r="G73" s="9"/>
      <c r="H73" s="9"/>
      <c r="I73" s="16"/>
      <c r="J73" s="16"/>
      <c r="K73" s="16"/>
      <c r="L73" s="7"/>
    </row>
    <row r="74" spans="1:12">
      <c r="A74" t="s">
        <v>64</v>
      </c>
      <c r="B74" s="76" t="s">
        <v>65</v>
      </c>
      <c r="C74" s="29">
        <v>0.1875</v>
      </c>
      <c r="D74" s="29">
        <v>0.52083333333333304</v>
      </c>
      <c r="E74" s="17">
        <f t="shared" ref="E74:E75" si="71">IF(D74&gt;C74,D74-C74,C74-D74)</f>
        <v>0.33333333333333298</v>
      </c>
      <c r="F74" s="17"/>
      <c r="G74" s="17"/>
      <c r="H74" s="17">
        <f t="shared" ref="H74:H75" si="72">IF(G74&gt;F74,G74-F74,F74-G74)</f>
        <v>0</v>
      </c>
      <c r="I74" s="17"/>
      <c r="J74" s="17"/>
      <c r="K74" s="17">
        <f t="shared" ref="K74:K75" si="73">IF(J74&gt;I74,J74-I74,I74-J74)</f>
        <v>0</v>
      </c>
      <c r="L74" s="17">
        <f t="shared" ref="L74:L75" si="74">E74+H74+K74</f>
        <v>0.33333333333333298</v>
      </c>
    </row>
    <row r="75" spans="1:12">
      <c r="B75" s="76" t="s">
        <v>70</v>
      </c>
      <c r="C75" s="29">
        <v>0.25</v>
      </c>
      <c r="D75" s="17">
        <v>0.5</v>
      </c>
      <c r="E75" s="17">
        <f t="shared" si="71"/>
        <v>0.25</v>
      </c>
      <c r="F75" s="17">
        <v>0.5</v>
      </c>
      <c r="G75" s="29">
        <v>0.58333333333333304</v>
      </c>
      <c r="H75" s="17">
        <f t="shared" si="72"/>
        <v>8.3333333333333398E-2</v>
      </c>
      <c r="I75" s="17"/>
      <c r="J75" s="17"/>
      <c r="K75" s="17">
        <f t="shared" si="73"/>
        <v>0</v>
      </c>
      <c r="L75" s="17">
        <f t="shared" si="74"/>
        <v>0.33333333333333298</v>
      </c>
    </row>
    <row r="76" spans="1:12">
      <c r="B76" s="76" t="s">
        <v>71</v>
      </c>
      <c r="C76" s="29">
        <v>0.1875</v>
      </c>
      <c r="D76" s="29">
        <v>0.52083333333333304</v>
      </c>
      <c r="E76" s="17">
        <f t="shared" ref="E76" si="75">IF(D76&gt;C76,D76-C76,C76-D76)</f>
        <v>0.33333333333333298</v>
      </c>
      <c r="F76" s="17"/>
      <c r="G76" s="17"/>
      <c r="H76" s="17">
        <f t="shared" ref="H76" si="76">IF(G76&gt;F76,G76-F76,F76-G76)</f>
        <v>0</v>
      </c>
      <c r="I76" s="17"/>
      <c r="J76" s="17"/>
      <c r="K76" s="17">
        <f t="shared" ref="K76" si="77">IF(J76&gt;I76,J76-I76,I76-J76)</f>
        <v>0</v>
      </c>
      <c r="L76" s="17">
        <f t="shared" ref="L76" si="78">E76+H76+K76</f>
        <v>0.33333333333333298</v>
      </c>
    </row>
    <row r="77" spans="1:12">
      <c r="A77" t="s">
        <v>66</v>
      </c>
      <c r="B77" s="76" t="s">
        <v>67</v>
      </c>
      <c r="C77" s="29">
        <v>0.1875</v>
      </c>
      <c r="D77" s="29">
        <v>0.52083333333333304</v>
      </c>
      <c r="E77" s="17">
        <f t="shared" ref="E77:E80" si="79">IF(D77&gt;C77,D77-C77,C77-D77)</f>
        <v>0.33333333333333298</v>
      </c>
      <c r="F77" s="17"/>
      <c r="G77" s="17"/>
      <c r="H77" s="17">
        <f t="shared" ref="H77:H80" si="80">IF(G77&gt;F77,G77-F77,F77-G77)</f>
        <v>0</v>
      </c>
      <c r="I77" s="17"/>
      <c r="J77" s="17"/>
      <c r="K77" s="17">
        <f t="shared" ref="K77:K80" si="81">IF(J77&gt;I77,J77-I77,I77-J77)</f>
        <v>0</v>
      </c>
      <c r="L77" s="17">
        <f t="shared" ref="L77:L80" si="82">E77+H77+K77</f>
        <v>0.33333333333333298</v>
      </c>
    </row>
    <row r="78" spans="1:12">
      <c r="A78" t="s">
        <v>68</v>
      </c>
      <c r="B78" s="151" t="s">
        <v>69</v>
      </c>
      <c r="C78" s="29">
        <v>0.41666666666666702</v>
      </c>
      <c r="D78" s="152">
        <v>0.58333333333333304</v>
      </c>
      <c r="E78" s="17">
        <f t="shared" si="79"/>
        <v>0.16666666666666699</v>
      </c>
      <c r="F78" s="17"/>
      <c r="G78" s="17"/>
      <c r="H78" s="17">
        <f t="shared" si="80"/>
        <v>0</v>
      </c>
      <c r="I78" s="29">
        <v>0.75</v>
      </c>
      <c r="J78" s="29">
        <v>0.91666666666666696</v>
      </c>
      <c r="K78" s="17">
        <f t="shared" si="81"/>
        <v>0.16666666666666699</v>
      </c>
      <c r="L78" s="17">
        <f t="shared" si="82"/>
        <v>0.33333333333333298</v>
      </c>
    </row>
    <row r="79" spans="1:12">
      <c r="A79" t="s">
        <v>72</v>
      </c>
      <c r="B79" s="13" t="s">
        <v>73</v>
      </c>
      <c r="C79" s="17"/>
      <c r="D79" s="17"/>
      <c r="E79" s="17">
        <f t="shared" si="79"/>
        <v>0</v>
      </c>
      <c r="F79" s="29">
        <v>0.58333333333333304</v>
      </c>
      <c r="G79" s="17">
        <v>0.75</v>
      </c>
      <c r="H79" s="17">
        <f t="shared" si="80"/>
        <v>0.16666666666666699</v>
      </c>
      <c r="I79" s="29">
        <v>0.75</v>
      </c>
      <c r="J79" s="29">
        <v>0.91666666666666696</v>
      </c>
      <c r="K79" s="17">
        <f t="shared" si="81"/>
        <v>0.16666666666666699</v>
      </c>
      <c r="L79" s="17">
        <f t="shared" si="82"/>
        <v>0.33333333333333298</v>
      </c>
    </row>
    <row r="80" spans="1:12">
      <c r="A80" s="150" t="s">
        <v>30</v>
      </c>
      <c r="B80" s="13" t="s">
        <v>75</v>
      </c>
      <c r="C80" s="29">
        <v>0.25</v>
      </c>
      <c r="D80" s="17">
        <v>0.5</v>
      </c>
      <c r="E80" s="17">
        <f t="shared" si="79"/>
        <v>0.25</v>
      </c>
      <c r="F80" s="17">
        <v>0.5</v>
      </c>
      <c r="G80" s="29">
        <v>0.58333333333333304</v>
      </c>
      <c r="H80" s="17">
        <f t="shared" si="80"/>
        <v>8.3333333333333398E-2</v>
      </c>
      <c r="I80" s="17"/>
      <c r="J80" s="17"/>
      <c r="K80" s="17">
        <f t="shared" si="81"/>
        <v>0</v>
      </c>
      <c r="L80" s="17">
        <f t="shared" si="82"/>
        <v>0.33333333333333298</v>
      </c>
    </row>
    <row r="81" spans="1:13">
      <c r="A81" s="150" t="s">
        <v>30</v>
      </c>
      <c r="B81" s="13" t="s">
        <v>74</v>
      </c>
      <c r="C81" s="29">
        <v>0.25</v>
      </c>
      <c r="D81" s="17">
        <v>0.5</v>
      </c>
      <c r="E81" s="17">
        <f t="shared" ref="E81" si="83">IF(D81&gt;C81,D81-C81,C81-D81)</f>
        <v>0.25</v>
      </c>
      <c r="F81" s="17">
        <v>0.5</v>
      </c>
      <c r="G81" s="29">
        <v>0.58333333333333304</v>
      </c>
      <c r="H81" s="17">
        <f t="shared" ref="H81" si="84">IF(G81&gt;F81,G81-F81,F81-G81)</f>
        <v>8.3333333333333398E-2</v>
      </c>
      <c r="I81" s="17"/>
      <c r="J81" s="17"/>
      <c r="K81" s="17">
        <f t="shared" ref="K81" si="85">IF(J81&gt;I81,J81-I81,I81-J81)</f>
        <v>0</v>
      </c>
      <c r="L81" s="17">
        <f t="shared" ref="L81" si="86">E81+H81+K81</f>
        <v>0.33333333333333298</v>
      </c>
      <c r="M81" s="32" t="s">
        <v>25</v>
      </c>
    </row>
    <row r="82" spans="1:13">
      <c r="B82" s="65"/>
      <c r="C82" s="66"/>
      <c r="D82" s="66"/>
      <c r="E82" s="52">
        <f>SUM(E74:E81)</f>
        <v>1.9166666666666701</v>
      </c>
      <c r="F82" s="66"/>
      <c r="G82" s="66"/>
      <c r="H82" s="52">
        <f>SUM(H74:H81)</f>
        <v>0.41666666666666702</v>
      </c>
      <c r="I82" s="50"/>
      <c r="J82" s="50"/>
      <c r="K82" s="52">
        <f>SUM(K74:K81)</f>
        <v>0.33333333333333298</v>
      </c>
      <c r="L82" s="15">
        <f>SUM(L74:L81)</f>
        <v>2.6666666666666701</v>
      </c>
    </row>
    <row r="83" spans="1:13">
      <c r="B83" s="68"/>
    </row>
    <row r="84" spans="1:13">
      <c r="C84" s="2" t="str">
        <f>+C70</f>
        <v>PATISSERIE &amp; PIZZA</v>
      </c>
      <c r="D84" s="18"/>
      <c r="F84" s="18"/>
      <c r="G84" s="5" t="s">
        <v>38</v>
      </c>
      <c r="H84" s="6">
        <f>+H70+1</f>
        <v>46250</v>
      </c>
    </row>
    <row r="85" spans="1:13">
      <c r="C85" s="168" t="s">
        <v>3</v>
      </c>
      <c r="D85" s="168"/>
      <c r="E85" s="168"/>
      <c r="F85" s="169" t="s">
        <v>4</v>
      </c>
      <c r="G85" s="169"/>
      <c r="H85" s="169"/>
      <c r="I85" s="170" t="s">
        <v>5</v>
      </c>
      <c r="J85" s="170"/>
      <c r="K85" s="170"/>
    </row>
    <row r="86" spans="1:13">
      <c r="B86" s="7" t="s">
        <v>6</v>
      </c>
      <c r="C86" s="8" t="s">
        <v>7</v>
      </c>
      <c r="D86" s="8" t="s">
        <v>8</v>
      </c>
      <c r="E86" s="8" t="s">
        <v>9</v>
      </c>
      <c r="F86" s="9" t="s">
        <v>7</v>
      </c>
      <c r="G86" s="9" t="s">
        <v>8</v>
      </c>
      <c r="H86" s="9" t="s">
        <v>9</v>
      </c>
      <c r="I86" s="16" t="s">
        <v>7</v>
      </c>
      <c r="J86" s="16" t="s">
        <v>8</v>
      </c>
      <c r="K86" s="16" t="s">
        <v>9</v>
      </c>
      <c r="L86" s="7" t="s">
        <v>10</v>
      </c>
    </row>
    <row r="87" spans="1:13" s="70" customFormat="1">
      <c r="A87" t="s">
        <v>64</v>
      </c>
      <c r="B87" s="76" t="s">
        <v>65</v>
      </c>
      <c r="C87" s="29">
        <v>0.1875</v>
      </c>
      <c r="D87" s="29">
        <v>0.52083333333333304</v>
      </c>
      <c r="E87" s="17">
        <f t="shared" ref="E87:E89" si="87">IF(D87&gt;C87,D87-C87,C87-D87)</f>
        <v>0.33333333333333298</v>
      </c>
      <c r="F87" s="17"/>
      <c r="G87" s="17"/>
      <c r="H87" s="17">
        <f t="shared" ref="H87:H89" si="88">IF(G87&gt;F87,G87-F87,F87-G87)</f>
        <v>0</v>
      </c>
      <c r="I87" s="17"/>
      <c r="J87" s="17"/>
      <c r="K87" s="17">
        <f t="shared" ref="K87:K89" si="89">IF(J87&gt;I87,J87-I87,I87-J87)</f>
        <v>0</v>
      </c>
      <c r="L87" s="17">
        <f t="shared" ref="L87:L93" si="90">E87+H87+K87</f>
        <v>0.33333333333333298</v>
      </c>
      <c r="M87"/>
    </row>
    <row r="88" spans="1:13" s="70" customFormat="1">
      <c r="A88"/>
      <c r="B88" s="76" t="s">
        <v>70</v>
      </c>
      <c r="C88" s="29">
        <v>0.25</v>
      </c>
      <c r="D88" s="17">
        <v>0.5</v>
      </c>
      <c r="E88" s="17">
        <f t="shared" si="87"/>
        <v>0.25</v>
      </c>
      <c r="F88" s="17">
        <v>0.5</v>
      </c>
      <c r="G88" s="29">
        <v>0.58333333333333304</v>
      </c>
      <c r="H88" s="17">
        <f t="shared" si="88"/>
        <v>8.3333333333333398E-2</v>
      </c>
      <c r="I88" s="17"/>
      <c r="J88" s="17"/>
      <c r="K88" s="17">
        <f t="shared" si="89"/>
        <v>0</v>
      </c>
      <c r="L88" s="17">
        <f t="shared" ref="L88" si="91">E88+H88+K88</f>
        <v>0.33333333333333298</v>
      </c>
      <c r="M88"/>
    </row>
    <row r="89" spans="1:13" s="70" customFormat="1">
      <c r="A89"/>
      <c r="B89" s="76" t="s">
        <v>71</v>
      </c>
      <c r="C89" s="29">
        <v>0.1875</v>
      </c>
      <c r="D89" s="29">
        <v>0.52083333333333304</v>
      </c>
      <c r="E89" s="17">
        <f t="shared" si="87"/>
        <v>0.33333333333333298</v>
      </c>
      <c r="F89" s="17"/>
      <c r="G89" s="17"/>
      <c r="H89" s="17">
        <f t="shared" si="88"/>
        <v>0</v>
      </c>
      <c r="I89" s="17"/>
      <c r="J89" s="17"/>
      <c r="K89" s="17">
        <f t="shared" si="89"/>
        <v>0</v>
      </c>
      <c r="L89" s="17">
        <f t="shared" ref="L89" si="92">E89+H89+K89</f>
        <v>0.33333333333333298</v>
      </c>
      <c r="M89"/>
    </row>
    <row r="90" spans="1:13" s="70" customFormat="1">
      <c r="A90" t="s">
        <v>66</v>
      </c>
      <c r="B90" s="76" t="s">
        <v>67</v>
      </c>
      <c r="C90" s="29">
        <v>0.1875</v>
      </c>
      <c r="D90" s="29">
        <v>0.52083333333333304</v>
      </c>
      <c r="E90" s="17">
        <f t="shared" ref="E90:E93" si="93">IF(D90&gt;C90,D90-C90,C90-D90)</f>
        <v>0.33333333333333298</v>
      </c>
      <c r="F90" s="17"/>
      <c r="G90" s="17"/>
      <c r="H90" s="17">
        <f t="shared" ref="H90:H93" si="94">IF(G90&gt;F90,G90-F90,F90-G90)</f>
        <v>0</v>
      </c>
      <c r="I90" s="17"/>
      <c r="J90" s="17"/>
      <c r="K90" s="17">
        <f t="shared" ref="K90:K93" si="95">IF(J90&gt;I90,J90-I90,I90-J90)</f>
        <v>0</v>
      </c>
      <c r="L90" s="17">
        <f t="shared" si="90"/>
        <v>0.33333333333333298</v>
      </c>
      <c r="M90"/>
    </row>
    <row r="91" spans="1:13">
      <c r="A91" t="s">
        <v>68</v>
      </c>
      <c r="B91" s="13" t="s">
        <v>69</v>
      </c>
      <c r="C91" s="17"/>
      <c r="D91" s="17"/>
      <c r="E91" s="17">
        <f t="shared" si="93"/>
        <v>0</v>
      </c>
      <c r="F91" s="29">
        <v>0.58333333333333304</v>
      </c>
      <c r="G91" s="17">
        <v>0.75</v>
      </c>
      <c r="H91" s="17">
        <f t="shared" si="94"/>
        <v>0.16666666666666699</v>
      </c>
      <c r="I91" s="17">
        <v>0.75</v>
      </c>
      <c r="J91" s="29">
        <v>0.91666666666666696</v>
      </c>
      <c r="K91" s="17">
        <f t="shared" si="95"/>
        <v>0.16666666666666699</v>
      </c>
      <c r="L91" s="17">
        <f t="shared" si="90"/>
        <v>0.33333333333333298</v>
      </c>
    </row>
    <row r="92" spans="1:13">
      <c r="A92" t="s">
        <v>72</v>
      </c>
      <c r="B92" s="151" t="s">
        <v>73</v>
      </c>
      <c r="C92" s="29">
        <v>0.41666666666666702</v>
      </c>
      <c r="D92" s="152">
        <v>0.58333333333333304</v>
      </c>
      <c r="E92" s="17">
        <f t="shared" si="93"/>
        <v>0.16666666666666699</v>
      </c>
      <c r="F92" s="17"/>
      <c r="G92" s="17"/>
      <c r="H92" s="17">
        <f t="shared" si="94"/>
        <v>0</v>
      </c>
      <c r="I92" s="29">
        <v>0.75</v>
      </c>
      <c r="J92" s="29">
        <v>0.91666666666666696</v>
      </c>
      <c r="K92" s="17">
        <f t="shared" si="95"/>
        <v>0.16666666666666699</v>
      </c>
      <c r="L92" s="17">
        <f t="shared" si="90"/>
        <v>0.33333333333333298</v>
      </c>
    </row>
    <row r="93" spans="1:13">
      <c r="A93" s="150" t="s">
        <v>30</v>
      </c>
      <c r="B93" s="13" t="s">
        <v>75</v>
      </c>
      <c r="C93" s="29">
        <v>0.25</v>
      </c>
      <c r="D93" s="17">
        <v>0.5</v>
      </c>
      <c r="E93" s="17">
        <f t="shared" si="93"/>
        <v>0.25</v>
      </c>
      <c r="F93" s="17">
        <v>0.5</v>
      </c>
      <c r="G93" s="29">
        <v>0.58333333333333304</v>
      </c>
      <c r="H93" s="17">
        <f t="shared" si="94"/>
        <v>8.3333333333333398E-2</v>
      </c>
      <c r="I93" s="17"/>
      <c r="J93" s="17"/>
      <c r="K93" s="17">
        <f t="shared" si="95"/>
        <v>0</v>
      </c>
      <c r="L93" s="17">
        <f t="shared" si="90"/>
        <v>0.33333333333333298</v>
      </c>
    </row>
    <row r="94" spans="1:13">
      <c r="A94" s="150" t="s">
        <v>30</v>
      </c>
      <c r="B94" s="13" t="s">
        <v>74</v>
      </c>
      <c r="C94" s="29">
        <v>0.25</v>
      </c>
      <c r="D94" s="17">
        <v>0.5</v>
      </c>
      <c r="E94" s="17">
        <f t="shared" ref="E94" si="96">IF(D94&gt;C94,D94-C94,C94-D94)</f>
        <v>0.25</v>
      </c>
      <c r="F94" s="17">
        <v>0.5</v>
      </c>
      <c r="G94" s="29">
        <v>0.58333333333333304</v>
      </c>
      <c r="H94" s="17">
        <f t="shared" ref="H94" si="97">IF(G94&gt;F94,G94-F94,F94-G94)</f>
        <v>8.3333333333333398E-2</v>
      </c>
      <c r="I94" s="17"/>
      <c r="J94" s="17"/>
      <c r="K94" s="17">
        <f t="shared" ref="K94" si="98">IF(J94&gt;I94,J94-I94,I94-J94)</f>
        <v>0</v>
      </c>
      <c r="L94" s="17">
        <f t="shared" ref="L94" si="99">E94+H94+K94</f>
        <v>0.33333333333333298</v>
      </c>
    </row>
    <row r="95" spans="1:13">
      <c r="B95" s="65"/>
      <c r="C95" s="66"/>
      <c r="D95" s="66"/>
      <c r="E95" s="52">
        <f>SUM(E87:E94)</f>
        <v>1.9166666666666701</v>
      </c>
      <c r="F95" s="66"/>
      <c r="G95" s="66"/>
      <c r="H95" s="52">
        <f>SUM(H87:H94)</f>
        <v>0.41666666666666702</v>
      </c>
      <c r="I95" s="50"/>
      <c r="J95" s="50"/>
      <c r="K95" s="52">
        <f>SUM(K87:K94)</f>
        <v>0.33333333333333298</v>
      </c>
      <c r="L95" s="15">
        <f>SUM(L87:L94)</f>
        <v>2.6666666666666701</v>
      </c>
    </row>
    <row r="98" spans="1:13">
      <c r="C98" s="2" t="str">
        <f>+C84</f>
        <v>PATISSERIE &amp; PIZZA</v>
      </c>
      <c r="D98" s="18"/>
      <c r="F98" s="18"/>
      <c r="G98" s="5" t="s">
        <v>39</v>
      </c>
      <c r="H98" s="6">
        <f>+H84+1</f>
        <v>46251</v>
      </c>
    </row>
    <row r="99" spans="1:13">
      <c r="C99" s="168" t="s">
        <v>3</v>
      </c>
      <c r="D99" s="168"/>
      <c r="E99" s="168"/>
      <c r="F99" s="169" t="s">
        <v>4</v>
      </c>
      <c r="G99" s="169"/>
      <c r="H99" s="169"/>
      <c r="I99" s="170" t="s">
        <v>5</v>
      </c>
      <c r="J99" s="170"/>
      <c r="K99" s="170"/>
    </row>
    <row r="100" spans="1:13">
      <c r="B100" s="7" t="s">
        <v>6</v>
      </c>
      <c r="C100" s="8" t="s">
        <v>7</v>
      </c>
      <c r="D100" s="8" t="s">
        <v>8</v>
      </c>
      <c r="E100" s="8" t="s">
        <v>9</v>
      </c>
      <c r="F100" s="9" t="s">
        <v>7</v>
      </c>
      <c r="G100" s="9" t="s">
        <v>8</v>
      </c>
      <c r="H100" s="9" t="s">
        <v>9</v>
      </c>
      <c r="I100" s="16" t="s">
        <v>7</v>
      </c>
      <c r="J100" s="16" t="s">
        <v>8</v>
      </c>
      <c r="K100" s="16" t="s">
        <v>9</v>
      </c>
      <c r="L100" s="7" t="s">
        <v>10</v>
      </c>
    </row>
    <row r="101" spans="1:13">
      <c r="A101" t="s">
        <v>64</v>
      </c>
      <c r="B101" s="76" t="s">
        <v>65</v>
      </c>
      <c r="C101" s="29">
        <v>0.1875</v>
      </c>
      <c r="D101" s="29">
        <v>0.52083333333333304</v>
      </c>
      <c r="E101" s="17">
        <f t="shared" ref="E101:E105" si="100">IF(D101&gt;C101,D101-C101,C101-D101)</f>
        <v>0.33333333333333298</v>
      </c>
      <c r="F101" s="17"/>
      <c r="G101" s="17"/>
      <c r="H101" s="17">
        <f t="shared" ref="H101:H105" si="101">IF(G101&gt;F101,G101-F101,F101-G101)</f>
        <v>0</v>
      </c>
      <c r="I101" s="17"/>
      <c r="J101" s="17"/>
      <c r="K101" s="17">
        <f t="shared" ref="K101:K105" si="102">IF(J101&gt;I101,J101-I101,I101-J101)</f>
        <v>0</v>
      </c>
      <c r="L101" s="17">
        <f t="shared" ref="L101:L105" si="103">E101+H101+K101</f>
        <v>0.33333333333333298</v>
      </c>
    </row>
    <row r="102" spans="1:13">
      <c r="B102" s="76" t="s">
        <v>70</v>
      </c>
      <c r="C102" s="40"/>
      <c r="D102" s="40"/>
      <c r="E102" s="40">
        <f t="shared" si="100"/>
        <v>0</v>
      </c>
      <c r="F102" s="40"/>
      <c r="G102" s="40"/>
      <c r="H102" s="40">
        <f t="shared" si="101"/>
        <v>0</v>
      </c>
      <c r="I102" s="41"/>
      <c r="J102" s="41"/>
      <c r="K102" s="40">
        <f t="shared" si="102"/>
        <v>0</v>
      </c>
      <c r="L102" s="55">
        <f t="shared" si="103"/>
        <v>0</v>
      </c>
      <c r="M102" s="32" t="s">
        <v>25</v>
      </c>
    </row>
    <row r="103" spans="1:13">
      <c r="B103" s="76" t="s">
        <v>71</v>
      </c>
      <c r="C103" s="29">
        <v>0.1875</v>
      </c>
      <c r="D103" s="29">
        <v>0.52083333333333304</v>
      </c>
      <c r="E103" s="17">
        <f t="shared" ref="E103" si="104">IF(D103&gt;C103,D103-C103,C103-D103)</f>
        <v>0.33333333333333298</v>
      </c>
      <c r="F103" s="17"/>
      <c r="G103" s="17"/>
      <c r="H103" s="17">
        <f t="shared" ref="H103" si="105">IF(G103&gt;F103,G103-F103,F103-G103)</f>
        <v>0</v>
      </c>
      <c r="I103" s="17"/>
      <c r="J103" s="17"/>
      <c r="K103" s="17">
        <f t="shared" ref="K103" si="106">IF(J103&gt;I103,J103-I103,I103-J103)</f>
        <v>0</v>
      </c>
      <c r="L103" s="17">
        <f t="shared" ref="L103" si="107">E103+H103+K103</f>
        <v>0.33333333333333298</v>
      </c>
    </row>
    <row r="104" spans="1:13">
      <c r="A104" t="s">
        <v>66</v>
      </c>
      <c r="B104" s="76" t="s">
        <v>67</v>
      </c>
      <c r="C104" s="29">
        <v>0.1875</v>
      </c>
      <c r="D104" s="29">
        <v>0.52083333333333304</v>
      </c>
      <c r="E104" s="17">
        <f t="shared" si="100"/>
        <v>0.33333333333333298</v>
      </c>
      <c r="F104" s="17"/>
      <c r="G104" s="17"/>
      <c r="H104" s="17">
        <f t="shared" si="101"/>
        <v>0</v>
      </c>
      <c r="I104" s="17"/>
      <c r="J104" s="17"/>
      <c r="K104" s="17">
        <f t="shared" si="102"/>
        <v>0</v>
      </c>
      <c r="L104" s="17">
        <f t="shared" si="103"/>
        <v>0.33333333333333298</v>
      </c>
    </row>
    <row r="105" spans="1:13">
      <c r="A105" t="s">
        <v>68</v>
      </c>
      <c r="B105" s="151" t="s">
        <v>69</v>
      </c>
      <c r="C105" s="29">
        <v>0.41666666666666702</v>
      </c>
      <c r="D105" s="152">
        <v>0.58333333333333304</v>
      </c>
      <c r="E105" s="17">
        <f t="shared" si="100"/>
        <v>0.16666666666666699</v>
      </c>
      <c r="F105" s="17"/>
      <c r="G105" s="17"/>
      <c r="H105" s="17">
        <f t="shared" si="101"/>
        <v>0</v>
      </c>
      <c r="I105" s="29">
        <v>0.75</v>
      </c>
      <c r="J105" s="29">
        <v>0.91666666666666696</v>
      </c>
      <c r="K105" s="17">
        <f t="shared" si="102"/>
        <v>0.16666666666666699</v>
      </c>
      <c r="L105" s="17">
        <f t="shared" si="103"/>
        <v>0.33333333333333298</v>
      </c>
    </row>
    <row r="106" spans="1:13">
      <c r="A106" t="s">
        <v>72</v>
      </c>
      <c r="B106" s="154" t="s">
        <v>73</v>
      </c>
      <c r="C106" s="40"/>
      <c r="D106" s="40"/>
      <c r="E106" s="40">
        <f t="shared" ref="E106:E108" si="108">IF(D106&gt;C106,D106-C106,C106-D106)</f>
        <v>0</v>
      </c>
      <c r="F106" s="40"/>
      <c r="G106" s="40"/>
      <c r="H106" s="40">
        <f t="shared" ref="H106:H108" si="109">IF(G106&gt;F106,G106-F106,F106-G106)</f>
        <v>0</v>
      </c>
      <c r="I106" s="41"/>
      <c r="J106" s="41"/>
      <c r="K106" s="40">
        <f t="shared" ref="K106:K108" si="110">IF(J106&gt;I106,J106-I106,I106-J106)</f>
        <v>0</v>
      </c>
      <c r="L106" s="55">
        <f t="shared" ref="L106:L108" si="111">E106+H106+K106</f>
        <v>0</v>
      </c>
      <c r="M106" s="32" t="s">
        <v>25</v>
      </c>
    </row>
    <row r="107" spans="1:13">
      <c r="A107" s="150" t="s">
        <v>30</v>
      </c>
      <c r="B107" s="13" t="s">
        <v>74</v>
      </c>
      <c r="C107" s="29">
        <v>0.25</v>
      </c>
      <c r="D107" s="17">
        <v>0.5</v>
      </c>
      <c r="E107" s="17">
        <f t="shared" si="108"/>
        <v>0.25</v>
      </c>
      <c r="F107" s="17">
        <v>0.5</v>
      </c>
      <c r="G107" s="29">
        <v>0.58333333333333304</v>
      </c>
      <c r="H107" s="17">
        <f t="shared" si="109"/>
        <v>8.3333333333333398E-2</v>
      </c>
      <c r="I107" s="17"/>
      <c r="J107" s="17"/>
      <c r="K107" s="17">
        <f t="shared" si="110"/>
        <v>0</v>
      </c>
      <c r="L107" s="17">
        <f t="shared" si="111"/>
        <v>0.33333333333333298</v>
      </c>
    </row>
    <row r="108" spans="1:13">
      <c r="A108" s="150" t="s">
        <v>30</v>
      </c>
      <c r="B108" s="13" t="s">
        <v>75</v>
      </c>
      <c r="C108" s="29">
        <v>0.25</v>
      </c>
      <c r="D108" s="17">
        <v>0.5</v>
      </c>
      <c r="E108" s="17">
        <f t="shared" si="108"/>
        <v>0.25</v>
      </c>
      <c r="F108" s="17">
        <v>0.5</v>
      </c>
      <c r="G108" s="29">
        <v>0.58333333333333304</v>
      </c>
      <c r="H108" s="17">
        <f t="shared" si="109"/>
        <v>8.3333333333333398E-2</v>
      </c>
      <c r="I108" s="17"/>
      <c r="J108" s="17"/>
      <c r="K108" s="17">
        <f t="shared" si="110"/>
        <v>0</v>
      </c>
      <c r="L108" s="17">
        <f t="shared" si="111"/>
        <v>0.33333333333333298</v>
      </c>
    </row>
    <row r="109" spans="1:13">
      <c r="B109" s="65"/>
      <c r="C109" s="66"/>
      <c r="D109" s="66"/>
      <c r="E109" s="52">
        <f>SUM(E101:E108)</f>
        <v>1.6666666666666701</v>
      </c>
      <c r="F109" s="66"/>
      <c r="G109" s="66"/>
      <c r="H109" s="52">
        <f>SUM(H101:H108)</f>
        <v>0.16666666666666699</v>
      </c>
      <c r="I109" s="50"/>
      <c r="J109" s="50"/>
      <c r="K109" s="52">
        <f>SUM(K101:K108)</f>
        <v>0.16666666666666699</v>
      </c>
      <c r="L109" s="15">
        <f>SUM(L101:L108)</f>
        <v>2</v>
      </c>
    </row>
    <row r="113" spans="2:3">
      <c r="B113" s="13" t="s">
        <v>65</v>
      </c>
      <c r="C113" s="21">
        <f>+L8+L21+L34++L47+L60+L74+L87</f>
        <v>2</v>
      </c>
    </row>
    <row r="114" spans="2:3">
      <c r="B114" s="13" t="s">
        <v>67</v>
      </c>
      <c r="C114" s="21">
        <f>+L9+L22+L35++L50+L63+L77+L90</f>
        <v>2</v>
      </c>
    </row>
    <row r="115" spans="2:3">
      <c r="B115" s="13" t="s">
        <v>69</v>
      </c>
      <c r="C115" s="21">
        <f>+L10+L25+L38++L51+L64+L78+L91</f>
        <v>1.8333333333333299</v>
      </c>
    </row>
    <row r="116" spans="2:3">
      <c r="B116" s="154" t="s">
        <v>73</v>
      </c>
      <c r="C116" s="21">
        <f>+L13+L26+L39++L52+L65+L79+L92</f>
        <v>2.3333333333333299</v>
      </c>
    </row>
  </sheetData>
  <mergeCells count="25">
    <mergeCell ref="C45:E45"/>
    <mergeCell ref="F45:H45"/>
    <mergeCell ref="I45:K45"/>
    <mergeCell ref="C6:E6"/>
    <mergeCell ref="F6:H6"/>
    <mergeCell ref="I6:K6"/>
    <mergeCell ref="C19:E19"/>
    <mergeCell ref="F19:H19"/>
    <mergeCell ref="I19:K19"/>
    <mergeCell ref="E2:I3"/>
    <mergeCell ref="C85:E85"/>
    <mergeCell ref="F85:H85"/>
    <mergeCell ref="I85:K85"/>
    <mergeCell ref="C99:E99"/>
    <mergeCell ref="F99:H99"/>
    <mergeCell ref="I99:K99"/>
    <mergeCell ref="C58:E58"/>
    <mergeCell ref="F58:H58"/>
    <mergeCell ref="I58:K58"/>
    <mergeCell ref="C71:E71"/>
    <mergeCell ref="F71:H71"/>
    <mergeCell ref="I71:K71"/>
    <mergeCell ref="C32:E32"/>
    <mergeCell ref="F32:H32"/>
    <mergeCell ref="I32:K32"/>
  </mergeCells>
  <pageMargins left="0.7" right="0.7" top="0.75" bottom="0.75" header="0.3" footer="0.3"/>
  <pageSetup paperSize="9" orientation="portrait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58"/>
  <sheetViews>
    <sheetView workbookViewId="0">
      <selection activeCell="P12" sqref="P12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3">
      <c r="E2" s="171" t="s">
        <v>76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94" t="s">
        <v>77</v>
      </c>
      <c r="G5" s="134" t="s">
        <v>39</v>
      </c>
      <c r="H5" s="135">
        <f>+'PATISS-PIZZA'!H5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2" t="s">
        <v>78</v>
      </c>
      <c r="B8" s="148" t="s">
        <v>79</v>
      </c>
      <c r="C8" s="99">
        <v>0.25</v>
      </c>
      <c r="D8" s="100">
        <v>0.58333333333333304</v>
      </c>
      <c r="E8" s="101">
        <f>IF(D8&gt;C8,D8-C8,C8-D8)</f>
        <v>0.33333333333333298</v>
      </c>
      <c r="F8" s="100"/>
      <c r="G8" s="99"/>
      <c r="H8" s="102">
        <f t="shared" ref="H8:H9" si="0">IF(G8&gt;F8,G8-F8,F8-G8)</f>
        <v>0</v>
      </c>
      <c r="I8" s="100">
        <v>0.75</v>
      </c>
      <c r="J8" s="99">
        <v>0.91666666666666696</v>
      </c>
      <c r="K8" s="102">
        <f t="shared" ref="K8:K9" si="1">IF(J8&gt;I8,J8-I8,I8-J8)</f>
        <v>0.16666666666666699</v>
      </c>
      <c r="L8" s="113">
        <f t="shared" ref="L8:L9" si="2">E8+H8+K8</f>
        <v>0.5</v>
      </c>
    </row>
    <row r="9" spans="1:13">
      <c r="A9" s="92" t="s">
        <v>80</v>
      </c>
      <c r="B9" s="149" t="s">
        <v>81</v>
      </c>
      <c r="C9" s="34"/>
      <c r="D9" s="34"/>
      <c r="E9" s="35">
        <f>IF(D9&gt;C9,D9-C9,C9-D9)</f>
        <v>0</v>
      </c>
      <c r="F9" s="34"/>
      <c r="G9" s="34"/>
      <c r="H9" s="36">
        <f t="shared" si="0"/>
        <v>0</v>
      </c>
      <c r="I9" s="34"/>
      <c r="J9" s="34"/>
      <c r="K9" s="36">
        <f t="shared" si="1"/>
        <v>0</v>
      </c>
      <c r="L9" s="37">
        <f t="shared" si="2"/>
        <v>0</v>
      </c>
      <c r="M9" s="38" t="s">
        <v>25</v>
      </c>
    </row>
    <row r="10" spans="1:13" s="90" customFormat="1">
      <c r="A10" s="108"/>
      <c r="B10" s="98"/>
      <c r="C10" s="109"/>
      <c r="D10" s="109"/>
      <c r="E10" s="110">
        <f>SUM(E8:E9)</f>
        <v>0.33333333333333298</v>
      </c>
      <c r="F10" s="111"/>
      <c r="G10" s="111"/>
      <c r="H10" s="110">
        <f>SUM(H8:H9)</f>
        <v>0</v>
      </c>
      <c r="I10" s="109"/>
      <c r="J10" s="109"/>
      <c r="K10" s="110">
        <f>SUM(K8:K9)</f>
        <v>0.16666666666666699</v>
      </c>
      <c r="L10" s="110">
        <f>SUM(L8:L9)</f>
        <v>0.5</v>
      </c>
      <c r="M10" s="108"/>
    </row>
    <row r="11" spans="1:13" s="90" customFormat="1">
      <c r="A11" s="108"/>
      <c r="B11" s="98"/>
      <c r="C11" s="136"/>
      <c r="D11" s="136"/>
      <c r="E11" s="137"/>
      <c r="F11" s="108"/>
      <c r="G11" s="108"/>
      <c r="H11" s="137"/>
      <c r="I11" s="136"/>
      <c r="J11" s="136"/>
      <c r="K11" s="137"/>
      <c r="L11" s="137"/>
      <c r="M11" s="108"/>
    </row>
    <row r="12" spans="1:13" s="91" customFormat="1">
      <c r="A12" s="92"/>
      <c r="B12" s="138"/>
      <c r="C12" s="94" t="str">
        <f>+C5</f>
        <v>CUISINE CANTINE</v>
      </c>
      <c r="D12" s="93"/>
      <c r="E12" s="139"/>
      <c r="F12" s="92"/>
      <c r="G12" s="134" t="s">
        <v>32</v>
      </c>
      <c r="H12" s="135">
        <f>+H5+1</f>
        <v>46245</v>
      </c>
      <c r="I12" s="93"/>
      <c r="J12" s="93"/>
      <c r="K12" s="139"/>
      <c r="L12" s="137"/>
      <c r="M12" s="92"/>
    </row>
    <row r="13" spans="1:13" s="91" customFormat="1">
      <c r="A13" s="92"/>
      <c r="B13" s="93"/>
      <c r="C13" s="172" t="s">
        <v>3</v>
      </c>
      <c r="D13" s="172"/>
      <c r="E13" s="172"/>
      <c r="F13" s="173" t="s">
        <v>4</v>
      </c>
      <c r="G13" s="173"/>
      <c r="H13" s="173"/>
      <c r="I13" s="174" t="s">
        <v>5</v>
      </c>
      <c r="J13" s="174"/>
      <c r="K13" s="174"/>
      <c r="L13" s="92"/>
      <c r="M13" s="92"/>
    </row>
    <row r="14" spans="1:13" s="91" customFormat="1">
      <c r="A14" s="92"/>
      <c r="B14" s="95" t="s">
        <v>6</v>
      </c>
      <c r="C14" s="96" t="s">
        <v>7</v>
      </c>
      <c r="D14" s="96" t="s">
        <v>8</v>
      </c>
      <c r="E14" s="96" t="s">
        <v>9</v>
      </c>
      <c r="F14" s="97" t="s">
        <v>7</v>
      </c>
      <c r="G14" s="97" t="s">
        <v>8</v>
      </c>
      <c r="H14" s="97" t="s">
        <v>9</v>
      </c>
      <c r="I14" s="112" t="s">
        <v>7</v>
      </c>
      <c r="J14" s="112" t="s">
        <v>8</v>
      </c>
      <c r="K14" s="112" t="s">
        <v>9</v>
      </c>
      <c r="L14" s="95" t="s">
        <v>10</v>
      </c>
      <c r="M14" s="92"/>
    </row>
    <row r="15" spans="1:13">
      <c r="A15" s="92" t="s">
        <v>78</v>
      </c>
      <c r="B15" s="149" t="s">
        <v>79</v>
      </c>
      <c r="C15" s="34"/>
      <c r="D15" s="34"/>
      <c r="E15" s="35">
        <f>IF(D15&gt;C15,D15-C15,C15-D15)</f>
        <v>0</v>
      </c>
      <c r="F15" s="34"/>
      <c r="G15" s="34"/>
      <c r="H15" s="36">
        <f t="shared" ref="H15:H16" si="3">IF(G15&gt;F15,G15-F15,F15-G15)</f>
        <v>0</v>
      </c>
      <c r="I15" s="34"/>
      <c r="J15" s="34"/>
      <c r="K15" s="36">
        <f t="shared" ref="K15:K16" si="4">IF(J15&gt;I15,J15-I15,I15-J15)</f>
        <v>0</v>
      </c>
      <c r="L15" s="37">
        <f t="shared" ref="L15:L16" si="5">E15+H15+K15</f>
        <v>0</v>
      </c>
      <c r="M15" s="38" t="s">
        <v>25</v>
      </c>
    </row>
    <row r="16" spans="1:13">
      <c r="A16" s="92" t="s">
        <v>80</v>
      </c>
      <c r="B16" s="148" t="s">
        <v>81</v>
      </c>
      <c r="C16" s="99">
        <v>0.25</v>
      </c>
      <c r="D16" s="100">
        <v>0.58333333333333304</v>
      </c>
      <c r="E16" s="101">
        <f>IF(D16&gt;C16,D16-C16,C16-D16)</f>
        <v>0.33333333333333298</v>
      </c>
      <c r="F16" s="100"/>
      <c r="G16" s="99"/>
      <c r="H16" s="102">
        <f t="shared" si="3"/>
        <v>0</v>
      </c>
      <c r="I16" s="100">
        <v>0.75</v>
      </c>
      <c r="J16" s="99">
        <v>0.91666666666666696</v>
      </c>
      <c r="K16" s="102">
        <f t="shared" si="4"/>
        <v>0.16666666666666699</v>
      </c>
      <c r="L16" s="113">
        <f t="shared" si="5"/>
        <v>0.5</v>
      </c>
    </row>
    <row r="17" spans="1:14" s="90" customFormat="1">
      <c r="A17" s="108"/>
      <c r="B17" s="98"/>
      <c r="C17" s="109"/>
      <c r="D17" s="109"/>
      <c r="E17" s="110">
        <f>SUM(E15:E16)</f>
        <v>0.33333333333333298</v>
      </c>
      <c r="F17" s="111"/>
      <c r="G17" s="111"/>
      <c r="H17" s="110">
        <f>SUM(H15:H16)</f>
        <v>0</v>
      </c>
      <c r="I17" s="109"/>
      <c r="J17" s="109"/>
      <c r="K17" s="110">
        <f>SUM(K15:K16)</f>
        <v>0.16666666666666699</v>
      </c>
      <c r="L17" s="110">
        <f>SUM(L15:L16)</f>
        <v>0.5</v>
      </c>
      <c r="M17" s="108"/>
    </row>
    <row r="18" spans="1:14" s="91" customFormat="1">
      <c r="A18" s="92"/>
      <c r="B18" s="93"/>
      <c r="C18" s="94" t="str">
        <f>+C12</f>
        <v>CUISINE CANTINE</v>
      </c>
      <c r="D18" s="93"/>
      <c r="E18" s="92"/>
      <c r="F18" s="92"/>
      <c r="G18" s="134" t="s">
        <v>34</v>
      </c>
      <c r="H18" s="135">
        <f>+H12+1</f>
        <v>46246</v>
      </c>
      <c r="I18" s="93"/>
      <c r="J18" s="93"/>
      <c r="K18" s="92"/>
      <c r="L18" s="92"/>
      <c r="M18" s="92"/>
    </row>
    <row r="19" spans="1:14" s="91" customFormat="1">
      <c r="A19" s="92"/>
      <c r="B19" s="93"/>
      <c r="C19" s="172" t="s">
        <v>3</v>
      </c>
      <c r="D19" s="172"/>
      <c r="E19" s="172"/>
      <c r="F19" s="173" t="s">
        <v>4</v>
      </c>
      <c r="G19" s="173"/>
      <c r="H19" s="173"/>
      <c r="I19" s="174" t="s">
        <v>5</v>
      </c>
      <c r="J19" s="174"/>
      <c r="K19" s="174"/>
      <c r="L19" s="92"/>
      <c r="M19" s="92"/>
    </row>
    <row r="20" spans="1:14">
      <c r="B20" s="95" t="s">
        <v>6</v>
      </c>
      <c r="C20" s="96" t="s">
        <v>7</v>
      </c>
      <c r="D20" s="96" t="s">
        <v>8</v>
      </c>
      <c r="E20" s="96" t="s">
        <v>9</v>
      </c>
      <c r="F20" s="97" t="s">
        <v>7</v>
      </c>
      <c r="G20" s="97" t="s">
        <v>8</v>
      </c>
      <c r="H20" s="97" t="s">
        <v>9</v>
      </c>
      <c r="I20" s="112" t="s">
        <v>7</v>
      </c>
      <c r="J20" s="112" t="s">
        <v>8</v>
      </c>
      <c r="K20" s="112" t="s">
        <v>9</v>
      </c>
      <c r="L20" s="95" t="s">
        <v>10</v>
      </c>
    </row>
    <row r="21" spans="1:14">
      <c r="A21" s="92" t="s">
        <v>78</v>
      </c>
      <c r="B21" s="148" t="s">
        <v>79</v>
      </c>
      <c r="C21" s="99">
        <v>0.33333333333333298</v>
      </c>
      <c r="D21" s="100">
        <v>0.58333333333333304</v>
      </c>
      <c r="E21" s="101">
        <f>IF(D21&gt;C21,D21-C21,C21-D21)</f>
        <v>0.25</v>
      </c>
      <c r="F21" s="100"/>
      <c r="G21" s="100"/>
      <c r="H21" s="102">
        <f t="shared" ref="H21" si="6">IF(G21&gt;F21,G21-F21,F21-G21)</f>
        <v>0</v>
      </c>
      <c r="I21" s="100">
        <v>0.75</v>
      </c>
      <c r="J21" s="99">
        <v>0.91666666666666696</v>
      </c>
      <c r="K21" s="102">
        <f t="shared" ref="K21" si="7">IF(J21&gt;I21,J21-I21,I21-J21)</f>
        <v>0.16666666666666699</v>
      </c>
      <c r="L21" s="113">
        <f t="shared" ref="L21" si="8">E21+H21+K21</f>
        <v>0.41666666666666702</v>
      </c>
    </row>
    <row r="22" spans="1:14">
      <c r="A22" s="92" t="s">
        <v>80</v>
      </c>
      <c r="B22" s="148" t="s">
        <v>81</v>
      </c>
      <c r="C22" s="99">
        <v>0.25</v>
      </c>
      <c r="D22" s="100">
        <v>0.5</v>
      </c>
      <c r="E22" s="101">
        <f>IF(D22&gt;C22,D22-C22,C22-D22)</f>
        <v>0.25</v>
      </c>
      <c r="F22" s="100">
        <v>0.5</v>
      </c>
      <c r="G22" s="99">
        <v>0.58333333333333304</v>
      </c>
      <c r="H22" s="102">
        <f t="shared" ref="H22" si="9">IF(G22&gt;F22,G22-F22,F22-G22)</f>
        <v>8.3333333333333398E-2</v>
      </c>
      <c r="I22" s="100"/>
      <c r="J22" s="100"/>
      <c r="K22" s="102">
        <f t="shared" ref="K22" si="10">IF(J22&gt;I22,J22-I22,I22-J22)</f>
        <v>0</v>
      </c>
      <c r="L22" s="113">
        <f t="shared" ref="L22" si="11">E22+H22+K22</f>
        <v>0.33333333333333298</v>
      </c>
    </row>
    <row r="23" spans="1:14" s="90" customFormat="1">
      <c r="A23" s="108"/>
      <c r="B23" s="98"/>
      <c r="C23" s="109"/>
      <c r="D23" s="109"/>
      <c r="E23" s="110">
        <f>SUM(E21:E22)</f>
        <v>0.5</v>
      </c>
      <c r="F23" s="111"/>
      <c r="G23" s="111"/>
      <c r="H23" s="110">
        <f>SUM(H21:H22)</f>
        <v>8.3333333333333398E-2</v>
      </c>
      <c r="I23" s="109"/>
      <c r="J23" s="109"/>
      <c r="K23" s="110">
        <f>SUM(K21:K22)</f>
        <v>0.16666666666666699</v>
      </c>
      <c r="L23" s="110">
        <f>SUM(L21:L22)</f>
        <v>0.75</v>
      </c>
      <c r="M23" s="108"/>
    </row>
    <row r="24" spans="1:14" s="91" customFormat="1">
      <c r="A24" s="92"/>
      <c r="B24" s="136"/>
      <c r="C24" s="94" t="str">
        <f>+C18</f>
        <v>CUISINE CANTINE</v>
      </c>
      <c r="D24" s="109"/>
      <c r="E24" s="141"/>
      <c r="F24" s="111"/>
      <c r="G24" s="134" t="s">
        <v>35</v>
      </c>
      <c r="H24" s="135">
        <f>+H18+1</f>
        <v>46247</v>
      </c>
      <c r="I24" s="109"/>
      <c r="J24" s="109"/>
      <c r="K24" s="141"/>
      <c r="L24" s="137"/>
      <c r="M24" s="92"/>
      <c r="N24" s="147"/>
    </row>
    <row r="25" spans="1:14" s="91" customFormat="1">
      <c r="A25" s="92"/>
      <c r="B25" s="93"/>
      <c r="C25" s="172" t="s">
        <v>3</v>
      </c>
      <c r="D25" s="172"/>
      <c r="E25" s="172"/>
      <c r="F25" s="173" t="s">
        <v>4</v>
      </c>
      <c r="G25" s="173"/>
      <c r="H25" s="173"/>
      <c r="I25" s="174" t="s">
        <v>5</v>
      </c>
      <c r="J25" s="174"/>
      <c r="K25" s="174"/>
      <c r="L25" s="92"/>
      <c r="M25" s="92"/>
      <c r="N25" s="147"/>
    </row>
    <row r="26" spans="1:14" s="91" customFormat="1">
      <c r="A26" s="92"/>
      <c r="B26" s="95" t="s">
        <v>6</v>
      </c>
      <c r="C26" s="96" t="s">
        <v>7</v>
      </c>
      <c r="D26" s="96" t="s">
        <v>8</v>
      </c>
      <c r="E26" s="96" t="s">
        <v>9</v>
      </c>
      <c r="F26" s="97" t="s">
        <v>7</v>
      </c>
      <c r="G26" s="97" t="s">
        <v>8</v>
      </c>
      <c r="H26" s="97" t="s">
        <v>9</v>
      </c>
      <c r="I26" s="112" t="s">
        <v>7</v>
      </c>
      <c r="J26" s="112" t="s">
        <v>8</v>
      </c>
      <c r="K26" s="112" t="s">
        <v>9</v>
      </c>
      <c r="L26" s="95" t="s">
        <v>10</v>
      </c>
      <c r="M26" s="92"/>
      <c r="N26" s="147"/>
    </row>
    <row r="27" spans="1:14" s="91" customFormat="1">
      <c r="A27" s="92" t="s">
        <v>78</v>
      </c>
      <c r="B27" s="148" t="s">
        <v>79</v>
      </c>
      <c r="C27" s="99">
        <v>0.33333333333333298</v>
      </c>
      <c r="D27" s="100">
        <v>0.58333333333333304</v>
      </c>
      <c r="E27" s="101">
        <f>IF(D27&gt;C27,D27-C27,C27-D27)</f>
        <v>0.25</v>
      </c>
      <c r="F27" s="100"/>
      <c r="G27" s="100"/>
      <c r="H27" s="102">
        <f t="shared" ref="H27" si="12">IF(G27&gt;F27,G27-F27,F27-G27)</f>
        <v>0</v>
      </c>
      <c r="I27" s="100">
        <v>0.75</v>
      </c>
      <c r="J27" s="99">
        <v>0.91666666666666696</v>
      </c>
      <c r="K27" s="102">
        <f t="shared" ref="K27" si="13">IF(J27&gt;I27,J27-I27,I27-J27)</f>
        <v>0.16666666666666699</v>
      </c>
      <c r="L27" s="113">
        <f t="shared" ref="L27" si="14">E27+H27+K27</f>
        <v>0.41666666666666702</v>
      </c>
      <c r="M27" s="92"/>
      <c r="N27" s="147"/>
    </row>
    <row r="28" spans="1:14">
      <c r="A28" s="92" t="s">
        <v>80</v>
      </c>
      <c r="B28" s="148" t="s">
        <v>81</v>
      </c>
      <c r="C28" s="99">
        <v>0.25</v>
      </c>
      <c r="D28" s="100">
        <v>0.5</v>
      </c>
      <c r="E28" s="101">
        <f>IF(D28&gt;C28,D28-C28,C28-D28)</f>
        <v>0.25</v>
      </c>
      <c r="F28" s="100">
        <v>0.5</v>
      </c>
      <c r="G28" s="99">
        <v>0.58333333333333304</v>
      </c>
      <c r="H28" s="102">
        <f t="shared" ref="H28" si="15">IF(G28&gt;F28,G28-F28,F28-G28)</f>
        <v>8.3333333333333398E-2</v>
      </c>
      <c r="I28" s="100"/>
      <c r="J28" s="100"/>
      <c r="K28" s="102">
        <f t="shared" ref="K28" si="16">IF(J28&gt;I28,J28-I28,I28-J28)</f>
        <v>0</v>
      </c>
      <c r="L28" s="113">
        <f t="shared" ref="L28" si="17">E28+H28+K28</f>
        <v>0.33333333333333298</v>
      </c>
    </row>
    <row r="29" spans="1:14" s="90" customFormat="1">
      <c r="A29" s="108"/>
      <c r="B29" s="98"/>
      <c r="C29" s="109"/>
      <c r="D29" s="109"/>
      <c r="E29" s="110">
        <f>SUM(E27:E28)</f>
        <v>0.5</v>
      </c>
      <c r="F29" s="111"/>
      <c r="G29" s="111"/>
      <c r="H29" s="110">
        <f>SUM(H27:H28)</f>
        <v>8.3333333333333398E-2</v>
      </c>
      <c r="I29" s="109"/>
      <c r="J29" s="109"/>
      <c r="K29" s="110">
        <f>SUM(K27:K28)</f>
        <v>0.16666666666666699</v>
      </c>
      <c r="L29" s="110">
        <f>SUM(L27:L28)</f>
        <v>0.75</v>
      </c>
      <c r="M29" s="108"/>
    </row>
    <row r="30" spans="1:14" s="91" customFormat="1">
      <c r="A30" s="92"/>
      <c r="B30" s="136"/>
      <c r="C30" s="94" t="str">
        <f>+C24</f>
        <v>CUISINE CANTINE</v>
      </c>
      <c r="D30" s="109"/>
      <c r="E30" s="141"/>
      <c r="F30" s="111"/>
      <c r="G30" s="134" t="s">
        <v>36</v>
      </c>
      <c r="H30" s="135">
        <f>+H24+1</f>
        <v>46248</v>
      </c>
      <c r="I30" s="109"/>
      <c r="J30" s="109"/>
      <c r="K30" s="141"/>
      <c r="L30" s="137"/>
      <c r="M30" s="92"/>
    </row>
    <row r="31" spans="1:14" s="91" customFormat="1">
      <c r="A31" s="92"/>
      <c r="B31" s="93"/>
      <c r="C31" s="172" t="s">
        <v>3</v>
      </c>
      <c r="D31" s="172"/>
      <c r="E31" s="172"/>
      <c r="F31" s="173" t="s">
        <v>4</v>
      </c>
      <c r="G31" s="173"/>
      <c r="H31" s="173"/>
      <c r="I31" s="174" t="s">
        <v>5</v>
      </c>
      <c r="J31" s="174"/>
      <c r="K31" s="174"/>
      <c r="L31" s="92"/>
      <c r="M31" s="92"/>
    </row>
    <row r="32" spans="1:14" s="91" customFormat="1">
      <c r="A32" s="92"/>
      <c r="B32" s="95" t="s">
        <v>6</v>
      </c>
      <c r="C32" s="96" t="s">
        <v>7</v>
      </c>
      <c r="D32" s="96" t="s">
        <v>8</v>
      </c>
      <c r="E32" s="96" t="s">
        <v>9</v>
      </c>
      <c r="F32" s="97" t="s">
        <v>7</v>
      </c>
      <c r="G32" s="97" t="s">
        <v>8</v>
      </c>
      <c r="H32" s="97" t="s">
        <v>9</v>
      </c>
      <c r="I32" s="112" t="s">
        <v>7</v>
      </c>
      <c r="J32" s="112" t="s">
        <v>8</v>
      </c>
      <c r="K32" s="112" t="s">
        <v>9</v>
      </c>
      <c r="L32" s="95" t="s">
        <v>10</v>
      </c>
      <c r="M32" s="92"/>
    </row>
    <row r="33" spans="1:13" s="91" customFormat="1">
      <c r="A33" s="92" t="s">
        <v>78</v>
      </c>
      <c r="B33" s="148" t="s">
        <v>79</v>
      </c>
      <c r="C33" s="99">
        <v>0.33333333333333298</v>
      </c>
      <c r="D33" s="100">
        <v>0.58333333333333304</v>
      </c>
      <c r="E33" s="101">
        <f>IF(D33&gt;C33,D33-C33,C33-D33)</f>
        <v>0.25</v>
      </c>
      <c r="F33" s="100"/>
      <c r="G33" s="100"/>
      <c r="H33" s="102">
        <f t="shared" ref="H33" si="18">IF(G33&gt;F33,G33-F33,F33-G33)</f>
        <v>0</v>
      </c>
      <c r="I33" s="100">
        <v>0.75</v>
      </c>
      <c r="J33" s="99">
        <v>0.91666666666666696</v>
      </c>
      <c r="K33" s="102">
        <f t="shared" ref="K33" si="19">IF(J33&gt;I33,J33-I33,I33-J33)</f>
        <v>0.16666666666666699</v>
      </c>
      <c r="L33" s="113">
        <f t="shared" ref="L33" si="20">E33+H33+K33</f>
        <v>0.41666666666666702</v>
      </c>
      <c r="M33" s="92"/>
    </row>
    <row r="34" spans="1:13">
      <c r="A34" s="92" t="s">
        <v>80</v>
      </c>
      <c r="B34" s="148" t="s">
        <v>81</v>
      </c>
      <c r="C34" s="99">
        <v>0.25</v>
      </c>
      <c r="D34" s="100">
        <v>0.5</v>
      </c>
      <c r="E34" s="101">
        <f>IF(D34&gt;C34,D34-C34,C34-D34)</f>
        <v>0.25</v>
      </c>
      <c r="F34" s="100">
        <v>0.5</v>
      </c>
      <c r="G34" s="99">
        <v>0.58333333333333304</v>
      </c>
      <c r="H34" s="102">
        <f t="shared" ref="H34" si="21">IF(G34&gt;F34,G34-F34,F34-G34)</f>
        <v>8.3333333333333398E-2</v>
      </c>
      <c r="I34" s="100"/>
      <c r="J34" s="100"/>
      <c r="K34" s="102">
        <f t="shared" ref="K34" si="22">IF(J34&gt;I34,J34-I34,I34-J34)</f>
        <v>0</v>
      </c>
      <c r="L34" s="113">
        <f t="shared" ref="L34" si="23">E34+H34+K34</f>
        <v>0.33333333333333298</v>
      </c>
    </row>
    <row r="35" spans="1:13" s="90" customFormat="1">
      <c r="A35" s="108"/>
      <c r="B35" s="98"/>
      <c r="C35" s="109"/>
      <c r="D35" s="109"/>
      <c r="E35" s="110">
        <f>SUM(E33:E34)</f>
        <v>0.5</v>
      </c>
      <c r="F35" s="111"/>
      <c r="G35" s="111"/>
      <c r="H35" s="110">
        <f>SUM(H33:H34)</f>
        <v>8.3333333333333398E-2</v>
      </c>
      <c r="I35" s="109"/>
      <c r="J35" s="109"/>
      <c r="K35" s="110">
        <f>SUM(K33:K34)</f>
        <v>0.16666666666666699</v>
      </c>
      <c r="L35" s="110">
        <f>SUM(L33:L34)</f>
        <v>0.75</v>
      </c>
      <c r="M35" s="108"/>
    </row>
    <row r="36" spans="1:13" s="91" customFormat="1">
      <c r="A36" s="92"/>
      <c r="B36" s="136"/>
      <c r="C36" s="94" t="str">
        <f>+C30</f>
        <v>CUISINE CANTINE</v>
      </c>
      <c r="D36" s="109"/>
      <c r="E36" s="141"/>
      <c r="F36" s="111"/>
      <c r="G36" s="134" t="s">
        <v>37</v>
      </c>
      <c r="H36" s="135">
        <f>+H30+1</f>
        <v>46249</v>
      </c>
      <c r="I36" s="109"/>
      <c r="J36" s="109"/>
      <c r="K36" s="141"/>
      <c r="L36" s="137"/>
      <c r="M36" s="92"/>
    </row>
    <row r="37" spans="1:13" s="91" customFormat="1">
      <c r="A37" s="92"/>
      <c r="B37" s="93"/>
      <c r="C37" s="172" t="s">
        <v>3</v>
      </c>
      <c r="D37" s="172"/>
      <c r="E37" s="172"/>
      <c r="F37" s="173" t="s">
        <v>4</v>
      </c>
      <c r="G37" s="173"/>
      <c r="H37" s="173"/>
      <c r="I37" s="174" t="s">
        <v>5</v>
      </c>
      <c r="J37" s="174"/>
      <c r="K37" s="174"/>
      <c r="L37" s="92"/>
      <c r="M37" s="92"/>
    </row>
    <row r="38" spans="1:13" s="91" customFormat="1">
      <c r="A38" s="92"/>
      <c r="B38" s="95" t="s">
        <v>6</v>
      </c>
      <c r="C38" s="96" t="s">
        <v>7</v>
      </c>
      <c r="D38" s="96" t="s">
        <v>8</v>
      </c>
      <c r="E38" s="96" t="s">
        <v>9</v>
      </c>
      <c r="F38" s="97" t="s">
        <v>7</v>
      </c>
      <c r="G38" s="97" t="s">
        <v>8</v>
      </c>
      <c r="H38" s="97" t="s">
        <v>9</v>
      </c>
      <c r="I38" s="112" t="s">
        <v>7</v>
      </c>
      <c r="J38" s="112" t="s">
        <v>8</v>
      </c>
      <c r="K38" s="112" t="s">
        <v>9</v>
      </c>
      <c r="L38" s="95" t="s">
        <v>10</v>
      </c>
      <c r="M38" s="92"/>
    </row>
    <row r="39" spans="1:13" s="91" customFormat="1">
      <c r="A39" s="92" t="s">
        <v>78</v>
      </c>
      <c r="B39" s="148" t="s">
        <v>79</v>
      </c>
      <c r="C39" s="99">
        <v>0.33333333333333298</v>
      </c>
      <c r="D39" s="100">
        <v>0.58333333333333304</v>
      </c>
      <c r="E39" s="101">
        <f>IF(D39&gt;C39,D39-C39,C39-D39)</f>
        <v>0.25</v>
      </c>
      <c r="F39" s="100"/>
      <c r="G39" s="100"/>
      <c r="H39" s="102">
        <f t="shared" ref="H39" si="24">IF(G39&gt;F39,G39-F39,F39-G39)</f>
        <v>0</v>
      </c>
      <c r="I39" s="100">
        <v>0.75</v>
      </c>
      <c r="J39" s="99">
        <v>0.91666666666666696</v>
      </c>
      <c r="K39" s="102">
        <f t="shared" ref="K39" si="25">IF(J39&gt;I39,J39-I39,I39-J39)</f>
        <v>0.16666666666666699</v>
      </c>
      <c r="L39" s="113">
        <f t="shared" ref="L39" si="26">E39+H39+K39</f>
        <v>0.41666666666666702</v>
      </c>
      <c r="M39" s="92"/>
    </row>
    <row r="40" spans="1:13" s="91" customFormat="1">
      <c r="A40" s="92" t="s">
        <v>80</v>
      </c>
      <c r="B40" s="148" t="s">
        <v>81</v>
      </c>
      <c r="C40" s="99">
        <v>0.25</v>
      </c>
      <c r="D40" s="100">
        <v>0.5</v>
      </c>
      <c r="E40" s="101">
        <f>IF(D40&gt;C40,D40-C40,C40-D40)</f>
        <v>0.25</v>
      </c>
      <c r="F40" s="100">
        <v>0.5</v>
      </c>
      <c r="G40" s="99">
        <v>0.58333333333333304</v>
      </c>
      <c r="H40" s="102">
        <f t="shared" ref="H40" si="27">IF(G40&gt;F40,G40-F40,F40-G40)</f>
        <v>8.3333333333333398E-2</v>
      </c>
      <c r="I40" s="100"/>
      <c r="J40" s="100"/>
      <c r="K40" s="102">
        <f t="shared" ref="K40" si="28">IF(J40&gt;I40,J40-I40,I40-J40)</f>
        <v>0</v>
      </c>
      <c r="L40" s="113">
        <f t="shared" ref="L40" si="29">E40+H40+K40</f>
        <v>0.33333333333333298</v>
      </c>
      <c r="M40" s="92"/>
    </row>
    <row r="41" spans="1:13" s="90" customFormat="1">
      <c r="A41" s="108"/>
      <c r="B41" s="98"/>
      <c r="C41" s="109"/>
      <c r="D41" s="109"/>
      <c r="E41" s="110">
        <f>SUM(E39:E40)</f>
        <v>0.5</v>
      </c>
      <c r="F41" s="111"/>
      <c r="G41" s="111"/>
      <c r="H41" s="110">
        <f>SUM(H39:H40)</f>
        <v>8.3333333333333398E-2</v>
      </c>
      <c r="I41" s="109"/>
      <c r="J41" s="109"/>
      <c r="K41" s="110">
        <f>SUM(K39:K40)</f>
        <v>0.16666666666666699</v>
      </c>
      <c r="L41" s="110">
        <f>SUM(L39:L40)</f>
        <v>0.75</v>
      </c>
      <c r="M41" s="108"/>
    </row>
    <row r="42" spans="1:13">
      <c r="B42" s="138"/>
      <c r="C42" s="94" t="str">
        <f>+C36</f>
        <v>CUISINE CANTINE</v>
      </c>
      <c r="E42" s="139"/>
      <c r="G42" s="134" t="s">
        <v>38</v>
      </c>
      <c r="H42" s="135">
        <f>+H36+1</f>
        <v>46250</v>
      </c>
      <c r="K42" s="139"/>
      <c r="L42" s="137"/>
    </row>
    <row r="43" spans="1:13">
      <c r="C43" s="172" t="s">
        <v>3</v>
      </c>
      <c r="D43" s="172"/>
      <c r="E43" s="172"/>
      <c r="F43" s="173" t="s">
        <v>4</v>
      </c>
      <c r="G43" s="173"/>
      <c r="H43" s="173"/>
      <c r="I43" s="174" t="s">
        <v>5</v>
      </c>
      <c r="J43" s="174"/>
      <c r="K43" s="174"/>
    </row>
    <row r="44" spans="1:13">
      <c r="B44" s="95" t="s">
        <v>6</v>
      </c>
      <c r="C44" s="96" t="s">
        <v>7</v>
      </c>
      <c r="D44" s="96" t="s">
        <v>8</v>
      </c>
      <c r="E44" s="96" t="s">
        <v>9</v>
      </c>
      <c r="F44" s="97" t="s">
        <v>7</v>
      </c>
      <c r="G44" s="97" t="s">
        <v>8</v>
      </c>
      <c r="H44" s="97" t="s">
        <v>9</v>
      </c>
      <c r="I44" s="112" t="s">
        <v>7</v>
      </c>
      <c r="J44" s="112" t="s">
        <v>8</v>
      </c>
      <c r="K44" s="112" t="s">
        <v>9</v>
      </c>
      <c r="L44" s="95" t="s">
        <v>10</v>
      </c>
    </row>
    <row r="45" spans="1:13">
      <c r="A45" s="92" t="s">
        <v>78</v>
      </c>
      <c r="B45" s="148" t="s">
        <v>79</v>
      </c>
      <c r="C45" s="99">
        <v>0.41666666666666702</v>
      </c>
      <c r="D45" s="100">
        <v>0.5</v>
      </c>
      <c r="E45" s="101">
        <f>IF(D45&gt;C45,D45-C45,C45-D45)</f>
        <v>8.3333333333333301E-2</v>
      </c>
      <c r="F45" s="100">
        <v>0.5</v>
      </c>
      <c r="G45" s="99">
        <v>0.75</v>
      </c>
      <c r="H45" s="102">
        <f t="shared" ref="H45:H46" si="30">IF(G45&gt;F45,G45-F45,F45-G45)</f>
        <v>0.25</v>
      </c>
      <c r="I45" s="100"/>
      <c r="J45" s="100"/>
      <c r="K45" s="102">
        <f t="shared" ref="K45:K46" si="31">IF(J45&gt;I45,J45-I45,I45-J45)</f>
        <v>0</v>
      </c>
      <c r="L45" s="113">
        <f t="shared" ref="L45:L46" si="32">E45+H45+K45</f>
        <v>0.33333333333333298</v>
      </c>
    </row>
    <row r="46" spans="1:13" s="91" customFormat="1">
      <c r="A46" s="92" t="s">
        <v>80</v>
      </c>
      <c r="B46" s="148" t="s">
        <v>81</v>
      </c>
      <c r="C46" s="99"/>
      <c r="D46" s="100"/>
      <c r="E46" s="101">
        <f>IF(D46&gt;C46,D46-C46,C46-D46)</f>
        <v>0</v>
      </c>
      <c r="F46" s="100"/>
      <c r="G46" s="99"/>
      <c r="H46" s="102">
        <f t="shared" si="30"/>
        <v>0</v>
      </c>
      <c r="I46" s="100">
        <v>0.75</v>
      </c>
      <c r="J46" s="99">
        <v>0.91666666666666696</v>
      </c>
      <c r="K46" s="102">
        <f t="shared" si="31"/>
        <v>0.16666666666666699</v>
      </c>
      <c r="L46" s="113">
        <f t="shared" si="32"/>
        <v>0.16666666666666699</v>
      </c>
      <c r="M46" s="92"/>
    </row>
    <row r="47" spans="1:13" s="90" customFormat="1">
      <c r="A47" s="108"/>
      <c r="B47" s="98"/>
      <c r="C47" s="109"/>
      <c r="D47" s="109"/>
      <c r="E47" s="110">
        <f>SUM(E45:E46)</f>
        <v>8.3333333333333301E-2</v>
      </c>
      <c r="F47" s="111"/>
      <c r="G47" s="111"/>
      <c r="H47" s="110">
        <f>SUM(H45:H46)</f>
        <v>0.25</v>
      </c>
      <c r="I47" s="109"/>
      <c r="J47" s="109"/>
      <c r="K47" s="110">
        <f>SUM(K45:K46)</f>
        <v>0.16666666666666699</v>
      </c>
      <c r="L47" s="110">
        <f>SUM(L45:L46)</f>
        <v>0.5</v>
      </c>
      <c r="M47" s="108"/>
    </row>
    <row r="48" spans="1:13" s="91" customFormat="1">
      <c r="A48" s="92"/>
      <c r="B48" s="93"/>
      <c r="C48" s="93"/>
      <c r="D48" s="93"/>
      <c r="E48" s="92"/>
      <c r="F48" s="92"/>
      <c r="G48" s="92"/>
      <c r="H48" s="92"/>
      <c r="I48" s="93"/>
      <c r="J48" s="93"/>
      <c r="K48" s="92"/>
      <c r="L48" s="92"/>
      <c r="M48" s="92"/>
    </row>
    <row r="49" spans="1:13">
      <c r="B49" s="138"/>
      <c r="C49" s="94" t="str">
        <f>+C42</f>
        <v>CUISINE CANTINE</v>
      </c>
      <c r="E49" s="139"/>
      <c r="G49" s="134" t="s">
        <v>39</v>
      </c>
      <c r="H49" s="135">
        <f>+H42+1</f>
        <v>46251</v>
      </c>
      <c r="K49" s="139"/>
      <c r="L49" s="137"/>
    </row>
    <row r="50" spans="1:13">
      <c r="C50" s="172" t="s">
        <v>3</v>
      </c>
      <c r="D50" s="172"/>
      <c r="E50" s="172"/>
      <c r="F50" s="173" t="s">
        <v>4</v>
      </c>
      <c r="G50" s="173"/>
      <c r="H50" s="173"/>
      <c r="I50" s="174" t="s">
        <v>5</v>
      </c>
      <c r="J50" s="174"/>
      <c r="K50" s="174"/>
    </row>
    <row r="51" spans="1:13">
      <c r="B51" s="95" t="s">
        <v>6</v>
      </c>
      <c r="C51" s="96" t="s">
        <v>7</v>
      </c>
      <c r="D51" s="96" t="s">
        <v>8</v>
      </c>
      <c r="E51" s="96" t="s">
        <v>9</v>
      </c>
      <c r="F51" s="97" t="s">
        <v>7</v>
      </c>
      <c r="G51" s="97" t="s">
        <v>8</v>
      </c>
      <c r="H51" s="97" t="s">
        <v>9</v>
      </c>
      <c r="I51" s="112" t="s">
        <v>7</v>
      </c>
      <c r="J51" s="112" t="s">
        <v>8</v>
      </c>
      <c r="K51" s="112" t="s">
        <v>9</v>
      </c>
      <c r="L51" s="95" t="s">
        <v>10</v>
      </c>
    </row>
    <row r="52" spans="1:13">
      <c r="A52" s="92" t="s">
        <v>78</v>
      </c>
      <c r="B52" s="148" t="s">
        <v>79</v>
      </c>
      <c r="C52" s="99"/>
      <c r="D52" s="100"/>
      <c r="E52" s="101">
        <f>IF(D52&gt;C52,D52-C52,C52-D52)</f>
        <v>0</v>
      </c>
      <c r="F52" s="100"/>
      <c r="G52" s="99"/>
      <c r="H52" s="102">
        <f t="shared" ref="H52:H53" si="33">IF(G52&gt;F52,G52-F52,F52-G52)</f>
        <v>0</v>
      </c>
      <c r="I52" s="99">
        <v>0.75</v>
      </c>
      <c r="J52" s="99">
        <v>0.91666666666666696</v>
      </c>
      <c r="K52" s="102">
        <f t="shared" ref="K52:K53" si="34">IF(J52&gt;I52,J52-I52,I52-J52)</f>
        <v>0.16666666666666699</v>
      </c>
      <c r="L52" s="113">
        <f t="shared" ref="L52:L53" si="35">E52+H52+K52</f>
        <v>0.16666666666666699</v>
      </c>
    </row>
    <row r="53" spans="1:13" ht="15.75" customHeight="1">
      <c r="A53" s="92" t="s">
        <v>80</v>
      </c>
      <c r="B53" s="149" t="s">
        <v>81</v>
      </c>
      <c r="C53" s="34"/>
      <c r="D53" s="34"/>
      <c r="E53" s="35">
        <f>IF(D53&gt;C53,D53-C53,C53-D53)</f>
        <v>0</v>
      </c>
      <c r="F53" s="34"/>
      <c r="G53" s="34"/>
      <c r="H53" s="36">
        <f t="shared" si="33"/>
        <v>0</v>
      </c>
      <c r="I53" s="34"/>
      <c r="J53" s="34"/>
      <c r="K53" s="36">
        <f t="shared" si="34"/>
        <v>0</v>
      </c>
      <c r="L53" s="37">
        <f t="shared" si="35"/>
        <v>0</v>
      </c>
      <c r="M53" s="38" t="s">
        <v>25</v>
      </c>
    </row>
    <row r="54" spans="1:13" s="90" customFormat="1">
      <c r="A54" s="108"/>
      <c r="B54" s="98"/>
      <c r="C54" s="109"/>
      <c r="D54" s="109"/>
      <c r="E54" s="110">
        <f>SUM(E52:E53)</f>
        <v>0</v>
      </c>
      <c r="F54" s="111"/>
      <c r="G54" s="111"/>
      <c r="H54" s="110">
        <f>SUM(H52:H53)</f>
        <v>0</v>
      </c>
      <c r="I54" s="109"/>
      <c r="J54" s="109"/>
      <c r="K54" s="110">
        <f>SUM(K52:K53)</f>
        <v>0.16666666666666699</v>
      </c>
      <c r="L54" s="110">
        <f>SUM(L52:L53)</f>
        <v>0.16666666666666699</v>
      </c>
      <c r="M54" s="108"/>
    </row>
    <row r="57" spans="1:13">
      <c r="B57" s="93" t="s">
        <v>79</v>
      </c>
      <c r="C57" s="116">
        <f>+L8+L15+L21+L27+L33+L39+L45</f>
        <v>2.5</v>
      </c>
    </row>
    <row r="58" spans="1:13">
      <c r="B58" s="93" t="s">
        <v>81</v>
      </c>
      <c r="C58" s="116">
        <f>+L9+L16+L22+L28+L34+L40+L46</f>
        <v>2</v>
      </c>
    </row>
  </sheetData>
  <mergeCells count="25">
    <mergeCell ref="C25:E25"/>
    <mergeCell ref="F25:H25"/>
    <mergeCell ref="I25:K25"/>
    <mergeCell ref="C6:E6"/>
    <mergeCell ref="F6:H6"/>
    <mergeCell ref="I6:K6"/>
    <mergeCell ref="C13:E13"/>
    <mergeCell ref="F13:H13"/>
    <mergeCell ref="I13:K13"/>
    <mergeCell ref="E2:I3"/>
    <mergeCell ref="C43:E43"/>
    <mergeCell ref="F43:H43"/>
    <mergeCell ref="I43:K43"/>
    <mergeCell ref="C50:E50"/>
    <mergeCell ref="F50:H50"/>
    <mergeCell ref="I50:K50"/>
    <mergeCell ref="C31:E31"/>
    <mergeCell ref="F31:H31"/>
    <mergeCell ref="I31:K31"/>
    <mergeCell ref="C37:E37"/>
    <mergeCell ref="F37:H37"/>
    <mergeCell ref="I37:K37"/>
    <mergeCell ref="C19:E19"/>
    <mergeCell ref="F19:H19"/>
    <mergeCell ref="I19:K19"/>
  </mergeCells>
  <pageMargins left="0.7" right="0.7" top="0.75" bottom="0.75" header="0.3" footer="0.3"/>
  <pageSetup paperSize="9" orientation="portrait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62"/>
  <sheetViews>
    <sheetView workbookViewId="0">
      <selection activeCell="O15" sqref="O15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7" width="11.42578125" style="92"/>
    <col min="8" max="8" width="12.28515625" style="92" customWidth="1"/>
    <col min="9" max="10" width="11.42578125" style="93"/>
    <col min="11" max="16384" width="11.42578125" style="92"/>
  </cols>
  <sheetData>
    <row r="2" spans="1:13">
      <c r="E2" s="171" t="s">
        <v>82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133" t="s">
        <v>83</v>
      </c>
      <c r="G5" s="134" t="s">
        <v>39</v>
      </c>
      <c r="H5" s="135">
        <f>+'CUISINE CANTINE'!H5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2" t="s">
        <v>84</v>
      </c>
      <c r="B8" s="98" t="s">
        <v>85</v>
      </c>
      <c r="C8" s="99">
        <v>0.41666666666666702</v>
      </c>
      <c r="D8" s="99">
        <v>0.58333333333333304</v>
      </c>
      <c r="E8" s="101">
        <f>IF(D8&gt;C8,D8-C8,C8-D8)</f>
        <v>0.16666666666666699</v>
      </c>
      <c r="F8" s="100"/>
      <c r="G8" s="99"/>
      <c r="H8" s="102">
        <f t="shared" ref="H8:H9" si="0">IF(G8&gt;F8,G8-F8,F8-G8)</f>
        <v>0</v>
      </c>
      <c r="I8" s="100">
        <v>0.75</v>
      </c>
      <c r="J8" s="99">
        <v>0.91666666666666696</v>
      </c>
      <c r="K8" s="102">
        <f t="shared" ref="K8:K9" si="1">IF(J8&gt;I8,J8-I8,I8-J8)</f>
        <v>0.16666666666666699</v>
      </c>
      <c r="L8" s="113">
        <f t="shared" ref="L8:L9" si="2">E8+H8+K8</f>
        <v>0.33333333333333298</v>
      </c>
    </row>
    <row r="9" spans="1:13">
      <c r="A9" s="92" t="s">
        <v>80</v>
      </c>
      <c r="B9" s="98" t="s">
        <v>57</v>
      </c>
      <c r="C9" s="105"/>
      <c r="D9" s="105"/>
      <c r="E9" s="106">
        <f>IF(D9&gt;C9,D9-C9,C9-D9)</f>
        <v>0</v>
      </c>
      <c r="F9" s="105"/>
      <c r="G9" s="105"/>
      <c r="H9" s="107">
        <f t="shared" si="0"/>
        <v>0</v>
      </c>
      <c r="I9" s="105"/>
      <c r="J9" s="105"/>
      <c r="K9" s="107">
        <f t="shared" si="1"/>
        <v>0</v>
      </c>
      <c r="L9" s="105">
        <f t="shared" si="2"/>
        <v>0</v>
      </c>
      <c r="M9" s="92" t="s">
        <v>25</v>
      </c>
    </row>
    <row r="10" spans="1:13">
      <c r="B10" s="98" t="s">
        <v>86</v>
      </c>
      <c r="C10" s="99">
        <v>0.41666666666666702</v>
      </c>
      <c r="D10" s="99">
        <v>0.58333333333333304</v>
      </c>
      <c r="E10" s="101">
        <f>IF(D10&gt;C10,D10-C10,C10-D10)</f>
        <v>0.16666666666666699</v>
      </c>
      <c r="F10" s="100"/>
      <c r="G10" s="99"/>
      <c r="H10" s="102">
        <f t="shared" ref="H10" si="3">IF(G10&gt;F10,G10-F10,F10-G10)</f>
        <v>0</v>
      </c>
      <c r="I10" s="100">
        <v>0.75</v>
      </c>
      <c r="J10" s="99">
        <v>0.91666666666666696</v>
      </c>
      <c r="K10" s="102">
        <f t="shared" ref="K10" si="4">IF(J10&gt;I10,J10-I10,I10-J10)</f>
        <v>0.16666666666666699</v>
      </c>
      <c r="L10" s="113">
        <f t="shared" ref="L10" si="5">E10+H10+K10</f>
        <v>0.33333333333333298</v>
      </c>
    </row>
    <row r="11" spans="1:13" s="90" customFormat="1">
      <c r="A11" s="108"/>
      <c r="B11" s="98"/>
      <c r="C11" s="109"/>
      <c r="D11" s="109"/>
      <c r="E11" s="110">
        <f>SUM(E8:E10)</f>
        <v>0.33333333333333298</v>
      </c>
      <c r="F11" s="111"/>
      <c r="G11" s="111"/>
      <c r="H11" s="110">
        <f>SUM(H8:H10)</f>
        <v>0</v>
      </c>
      <c r="I11" s="109"/>
      <c r="J11" s="109"/>
      <c r="K11" s="110">
        <f>SUM(K8:K10)</f>
        <v>0.33333333333333298</v>
      </c>
      <c r="L11" s="110">
        <f>SUM(L8:L10)</f>
        <v>0.66666666666666696</v>
      </c>
      <c r="M11" s="108"/>
    </row>
    <row r="12" spans="1:13" s="90" customFormat="1">
      <c r="A12" s="108"/>
      <c r="B12" s="98"/>
      <c r="C12" s="136"/>
      <c r="D12" s="136"/>
      <c r="E12" s="137"/>
      <c r="F12" s="108"/>
      <c r="G12" s="108"/>
      <c r="H12" s="137"/>
      <c r="I12" s="136"/>
      <c r="J12" s="136"/>
      <c r="K12" s="137"/>
      <c r="L12" s="137"/>
      <c r="M12" s="108"/>
    </row>
    <row r="13" spans="1:13" s="91" customFormat="1">
      <c r="A13" s="92"/>
      <c r="B13" s="138"/>
      <c r="C13" s="133" t="str">
        <f>+C5</f>
        <v>CUISINE DETENTE</v>
      </c>
      <c r="D13" s="93"/>
      <c r="E13" s="139"/>
      <c r="F13" s="92"/>
      <c r="G13" s="134" t="s">
        <v>32</v>
      </c>
      <c r="H13" s="135">
        <f>+H5+1</f>
        <v>46245</v>
      </c>
      <c r="I13" s="93"/>
      <c r="J13" s="93"/>
      <c r="K13" s="139"/>
      <c r="L13" s="137"/>
      <c r="M13" s="92"/>
    </row>
    <row r="14" spans="1:13" s="91" customFormat="1">
      <c r="A14" s="92"/>
      <c r="B14" s="93"/>
      <c r="C14" s="172" t="s">
        <v>3</v>
      </c>
      <c r="D14" s="172"/>
      <c r="E14" s="172"/>
      <c r="F14" s="173" t="s">
        <v>4</v>
      </c>
      <c r="G14" s="173"/>
      <c r="H14" s="173"/>
      <c r="I14" s="174" t="s">
        <v>5</v>
      </c>
      <c r="J14" s="174"/>
      <c r="K14" s="174"/>
      <c r="L14" s="92"/>
      <c r="M14" s="92"/>
    </row>
    <row r="15" spans="1:13" s="91" customFormat="1">
      <c r="A15" s="92"/>
      <c r="B15" s="95" t="s">
        <v>6</v>
      </c>
      <c r="C15" s="96" t="s">
        <v>7</v>
      </c>
      <c r="D15" s="96" t="s">
        <v>8</v>
      </c>
      <c r="E15" s="96" t="s">
        <v>9</v>
      </c>
      <c r="F15" s="97" t="s">
        <v>7</v>
      </c>
      <c r="G15" s="97" t="s">
        <v>8</v>
      </c>
      <c r="H15" s="97" t="s">
        <v>9</v>
      </c>
      <c r="I15" s="112" t="s">
        <v>7</v>
      </c>
      <c r="J15" s="112" t="s">
        <v>8</v>
      </c>
      <c r="K15" s="112" t="s">
        <v>9</v>
      </c>
      <c r="L15" s="95" t="s">
        <v>10</v>
      </c>
      <c r="M15" s="92"/>
    </row>
    <row r="16" spans="1:13">
      <c r="A16" s="92" t="s">
        <v>84</v>
      </c>
      <c r="B16" s="98" t="s">
        <v>85</v>
      </c>
      <c r="C16" s="99">
        <v>0.41666666666666702</v>
      </c>
      <c r="D16" s="99">
        <v>0.58333333333333304</v>
      </c>
      <c r="E16" s="101">
        <f>IF(D16&gt;C16,D16-C16,C16-D16)</f>
        <v>0.16666666666666699</v>
      </c>
      <c r="F16" s="100"/>
      <c r="G16" s="99"/>
      <c r="H16" s="102">
        <f t="shared" ref="H16:H18" si="6">IF(G16&gt;F16,G16-F16,F16-G16)</f>
        <v>0</v>
      </c>
      <c r="I16" s="100">
        <v>0.75</v>
      </c>
      <c r="J16" s="99">
        <v>0.91666666666666696</v>
      </c>
      <c r="K16" s="102">
        <f t="shared" ref="K16:K18" si="7">IF(J16&gt;I16,J16-I16,I16-J16)</f>
        <v>0.16666666666666699</v>
      </c>
      <c r="L16" s="113">
        <f t="shared" ref="L16:L18" si="8">E16+H16+K16</f>
        <v>0.33333333333333298</v>
      </c>
    </row>
    <row r="17" spans="1:14" s="132" customFormat="1">
      <c r="A17" s="92" t="s">
        <v>80</v>
      </c>
      <c r="B17" s="98" t="s">
        <v>57</v>
      </c>
      <c r="C17" s="100"/>
      <c r="D17" s="100"/>
      <c r="E17" s="101">
        <f>IF(D17&gt;C17,D17-C17,C17-D17)</f>
        <v>0</v>
      </c>
      <c r="F17" s="99">
        <v>0.58333333333333304</v>
      </c>
      <c r="G17" s="100">
        <v>0.75</v>
      </c>
      <c r="H17" s="102">
        <f t="shared" si="6"/>
        <v>0.16666666666666699</v>
      </c>
      <c r="I17" s="100">
        <v>0.75</v>
      </c>
      <c r="J17" s="99">
        <v>0.91666666666666696</v>
      </c>
      <c r="K17" s="102">
        <f t="shared" si="7"/>
        <v>0.16666666666666699</v>
      </c>
      <c r="L17" s="113">
        <f t="shared" si="8"/>
        <v>0.33333333333333298</v>
      </c>
      <c r="M17" s="92"/>
    </row>
    <row r="18" spans="1:14">
      <c r="B18" s="98" t="s">
        <v>86</v>
      </c>
      <c r="C18" s="105"/>
      <c r="D18" s="105"/>
      <c r="E18" s="106">
        <f>IF(D18&gt;C18,D18-C18,C18-D18)</f>
        <v>0</v>
      </c>
      <c r="F18" s="105"/>
      <c r="G18" s="105"/>
      <c r="H18" s="107">
        <f t="shared" si="6"/>
        <v>0</v>
      </c>
      <c r="I18" s="105"/>
      <c r="J18" s="105"/>
      <c r="K18" s="107">
        <f t="shared" si="7"/>
        <v>0</v>
      </c>
      <c r="L18" s="105">
        <f t="shared" si="8"/>
        <v>0</v>
      </c>
      <c r="M18" s="92" t="s">
        <v>25</v>
      </c>
    </row>
    <row r="19" spans="1:14" s="90" customFormat="1">
      <c r="A19" s="108"/>
      <c r="B19" s="98"/>
      <c r="C19" s="109"/>
      <c r="D19" s="109"/>
      <c r="E19" s="110">
        <f>SUM(E16:E18)</f>
        <v>0.16666666666666699</v>
      </c>
      <c r="F19" s="111"/>
      <c r="G19" s="111"/>
      <c r="H19" s="110">
        <f>SUM(H16:H18)</f>
        <v>0.16666666666666699</v>
      </c>
      <c r="I19" s="109"/>
      <c r="J19" s="109"/>
      <c r="K19" s="110">
        <f>SUM(K16:K18)</f>
        <v>0.33333333333333298</v>
      </c>
      <c r="L19" s="110">
        <f>SUM(L16:L18)</f>
        <v>0.66666666666666696</v>
      </c>
      <c r="M19" s="108"/>
    </row>
    <row r="20" spans="1:14" s="91" customFormat="1">
      <c r="A20" s="92"/>
      <c r="B20" s="93"/>
      <c r="C20" s="133" t="str">
        <f>+C13</f>
        <v>CUISINE DETENTE</v>
      </c>
      <c r="D20" s="93"/>
      <c r="E20" s="92"/>
      <c r="F20" s="92"/>
      <c r="G20" s="134" t="s">
        <v>34</v>
      </c>
      <c r="H20" s="135">
        <f>+H13+1</f>
        <v>46246</v>
      </c>
      <c r="I20" s="93"/>
      <c r="J20" s="93"/>
      <c r="K20" s="92"/>
      <c r="L20" s="92"/>
      <c r="M20" s="92"/>
    </row>
    <row r="21" spans="1:14" s="91" customFormat="1">
      <c r="A21" s="92"/>
      <c r="B21" s="93"/>
      <c r="C21" s="172" t="s">
        <v>3</v>
      </c>
      <c r="D21" s="172"/>
      <c r="E21" s="172"/>
      <c r="F21" s="173" t="s">
        <v>4</v>
      </c>
      <c r="G21" s="173"/>
      <c r="H21" s="173"/>
      <c r="I21" s="174" t="s">
        <v>5</v>
      </c>
      <c r="J21" s="174"/>
      <c r="K21" s="174"/>
      <c r="L21" s="92"/>
      <c r="M21" s="92"/>
    </row>
    <row r="22" spans="1:14">
      <c r="B22" s="95" t="s">
        <v>6</v>
      </c>
      <c r="C22" s="96" t="s">
        <v>7</v>
      </c>
      <c r="D22" s="96" t="s">
        <v>8</v>
      </c>
      <c r="E22" s="96" t="s">
        <v>9</v>
      </c>
      <c r="F22" s="97" t="s">
        <v>7</v>
      </c>
      <c r="G22" s="97" t="s">
        <v>8</v>
      </c>
      <c r="H22" s="97" t="s">
        <v>9</v>
      </c>
      <c r="I22" s="112" t="s">
        <v>7</v>
      </c>
      <c r="J22" s="112" t="s">
        <v>8</v>
      </c>
      <c r="K22" s="112" t="s">
        <v>9</v>
      </c>
      <c r="L22" s="95" t="s">
        <v>10</v>
      </c>
    </row>
    <row r="23" spans="1:14">
      <c r="A23" s="92" t="s">
        <v>84</v>
      </c>
      <c r="B23" s="140" t="s">
        <v>85</v>
      </c>
      <c r="C23" s="105"/>
      <c r="D23" s="105"/>
      <c r="E23" s="106">
        <f>IF(D23&gt;C23,D23-C23,C23-D23)</f>
        <v>0</v>
      </c>
      <c r="F23" s="105"/>
      <c r="G23" s="105"/>
      <c r="H23" s="107">
        <f t="shared" ref="H23" si="9">IF(G23&gt;F23,G23-F23,F23-G23)</f>
        <v>0</v>
      </c>
      <c r="I23" s="105"/>
      <c r="J23" s="105"/>
      <c r="K23" s="107">
        <f t="shared" ref="K23" si="10">IF(J23&gt;I23,J23-I23,I23-J23)</f>
        <v>0</v>
      </c>
      <c r="L23" s="105">
        <f t="shared" ref="L23" si="11">E23+H23+K23</f>
        <v>0</v>
      </c>
      <c r="M23" s="92" t="s">
        <v>25</v>
      </c>
    </row>
    <row r="24" spans="1:14">
      <c r="A24" s="92" t="s">
        <v>80</v>
      </c>
      <c r="B24" s="140" t="s">
        <v>57</v>
      </c>
      <c r="C24" s="100"/>
      <c r="D24" s="100"/>
      <c r="E24" s="101">
        <f>IF(D24&gt;C24,D24-C24,C24-D24)</f>
        <v>0</v>
      </c>
      <c r="F24" s="99"/>
      <c r="G24" s="100"/>
      <c r="H24" s="102">
        <f t="shared" ref="H24" si="12">IF(G24&gt;F24,G24-F24,F24-G24)</f>
        <v>0</v>
      </c>
      <c r="I24" s="100">
        <v>0.75</v>
      </c>
      <c r="J24" s="99">
        <v>0.91666666666666696</v>
      </c>
      <c r="K24" s="102">
        <f t="shared" ref="K24" si="13">IF(J24&gt;I24,J24-I24,I24-J24)</f>
        <v>0.16666666666666699</v>
      </c>
      <c r="L24" s="113">
        <f t="shared" ref="L24" si="14">E24+H24+K24</f>
        <v>0.16666666666666699</v>
      </c>
    </row>
    <row r="25" spans="1:14">
      <c r="B25" s="98" t="s">
        <v>86</v>
      </c>
      <c r="C25" s="99">
        <v>0.41666666666666702</v>
      </c>
      <c r="D25" s="99">
        <v>0.58333333333333304</v>
      </c>
      <c r="E25" s="101">
        <f>IF(D25&gt;C25,D25-C25,C25-D25)</f>
        <v>0.16666666666666699</v>
      </c>
      <c r="F25" s="100"/>
      <c r="G25" s="99"/>
      <c r="H25" s="102">
        <f t="shared" ref="H25" si="15">IF(G25&gt;F25,G25-F25,F25-G25)</f>
        <v>0</v>
      </c>
      <c r="I25" s="100">
        <v>0.75</v>
      </c>
      <c r="J25" s="99">
        <v>0.91666666666666696</v>
      </c>
      <c r="K25" s="102">
        <f t="shared" ref="K25" si="16">IF(J25&gt;I25,J25-I25,I25-J25)</f>
        <v>0.16666666666666699</v>
      </c>
      <c r="L25" s="113">
        <f t="shared" ref="L25" si="17">E25+H25+K25</f>
        <v>0.33333333333333298</v>
      </c>
    </row>
    <row r="26" spans="1:14" s="91" customFormat="1">
      <c r="A26" s="92"/>
      <c r="B26" s="136"/>
      <c r="C26" s="109"/>
      <c r="D26" s="109"/>
      <c r="E26" s="110">
        <f>SUM(E23:E24)</f>
        <v>0</v>
      </c>
      <c r="F26" s="111"/>
      <c r="G26" s="111"/>
      <c r="H26" s="110">
        <f>SUM(H23:H24)</f>
        <v>0</v>
      </c>
      <c r="I26" s="109"/>
      <c r="J26" s="109"/>
      <c r="K26" s="110">
        <f>SUM(K23:K24)</f>
        <v>0.16666666666666699</v>
      </c>
      <c r="L26" s="110">
        <f>SUM(L23:L24)</f>
        <v>0.16666666666666699</v>
      </c>
      <c r="M26" s="92"/>
      <c r="N26" s="147"/>
    </row>
    <row r="27" spans="1:14" s="91" customFormat="1">
      <c r="A27" s="92"/>
      <c r="B27" s="136"/>
      <c r="C27" s="133" t="str">
        <f>+C20</f>
        <v>CUISINE DETENTE</v>
      </c>
      <c r="D27" s="109"/>
      <c r="E27" s="141"/>
      <c r="F27" s="111"/>
      <c r="G27" s="142" t="s">
        <v>35</v>
      </c>
      <c r="H27" s="135">
        <f>+H20+1</f>
        <v>46247</v>
      </c>
      <c r="I27" s="109"/>
      <c r="J27" s="109"/>
      <c r="K27" s="141"/>
      <c r="L27" s="137"/>
      <c r="M27" s="92"/>
      <c r="N27" s="147"/>
    </row>
    <row r="28" spans="1:14" s="91" customFormat="1">
      <c r="A28" s="92"/>
      <c r="B28" s="93"/>
      <c r="C28" s="172" t="s">
        <v>3</v>
      </c>
      <c r="D28" s="172"/>
      <c r="E28" s="172"/>
      <c r="F28" s="173" t="s">
        <v>4</v>
      </c>
      <c r="G28" s="173"/>
      <c r="H28" s="173"/>
      <c r="I28" s="174" t="s">
        <v>5</v>
      </c>
      <c r="J28" s="174"/>
      <c r="K28" s="174"/>
      <c r="L28" s="92"/>
      <c r="M28" s="92"/>
      <c r="N28" s="147"/>
    </row>
    <row r="29" spans="1:14" s="91" customFormat="1">
      <c r="A29" s="92"/>
      <c r="B29" s="95" t="s">
        <v>6</v>
      </c>
      <c r="C29" s="96" t="s">
        <v>7</v>
      </c>
      <c r="D29" s="96" t="s">
        <v>8</v>
      </c>
      <c r="E29" s="96" t="s">
        <v>9</v>
      </c>
      <c r="F29" s="97" t="s">
        <v>7</v>
      </c>
      <c r="G29" s="97" t="s">
        <v>8</v>
      </c>
      <c r="H29" s="97" t="s">
        <v>9</v>
      </c>
      <c r="I29" s="112" t="s">
        <v>7</v>
      </c>
      <c r="J29" s="112" t="s">
        <v>8</v>
      </c>
      <c r="K29" s="112" t="s">
        <v>9</v>
      </c>
      <c r="L29" s="95" t="s">
        <v>10</v>
      </c>
      <c r="M29" s="92"/>
      <c r="N29" s="147"/>
    </row>
    <row r="30" spans="1:14">
      <c r="A30" s="92" t="s">
        <v>84</v>
      </c>
      <c r="B30" s="140" t="s">
        <v>85</v>
      </c>
      <c r="C30" s="100">
        <v>0.41666666666666702</v>
      </c>
      <c r="D30" s="100">
        <v>0.58333333333333304</v>
      </c>
      <c r="E30" s="101">
        <f>IF(D30&gt;C30,D30-C30,C30-D30)</f>
        <v>0.16666666666666699</v>
      </c>
      <c r="F30" s="99"/>
      <c r="G30" s="100"/>
      <c r="H30" s="102">
        <f t="shared" ref="H30:H31" si="18">IF(G30&gt;F30,G30-F30,F30-G30)</f>
        <v>0</v>
      </c>
      <c r="I30" s="100">
        <v>0.75</v>
      </c>
      <c r="J30" s="99">
        <v>0.91666666666666696</v>
      </c>
      <c r="K30" s="102">
        <f t="shared" ref="K30:K31" si="19">IF(J30&gt;I30,J30-I30,I30-J30)</f>
        <v>0.16666666666666699</v>
      </c>
      <c r="L30" s="113">
        <f t="shared" ref="L30:L31" si="20">E30+H30+K30</f>
        <v>0.33333333333333298</v>
      </c>
    </row>
    <row r="31" spans="1:14">
      <c r="A31" s="92" t="s">
        <v>80</v>
      </c>
      <c r="B31" s="140" t="s">
        <v>57</v>
      </c>
      <c r="C31" s="99">
        <v>0.41666666666666702</v>
      </c>
      <c r="D31" s="99">
        <v>0.58333333333333304</v>
      </c>
      <c r="E31" s="101">
        <f>IF(D31&gt;C31,D31-C31,C31-D31)</f>
        <v>0.16666666666666699</v>
      </c>
      <c r="F31" s="100"/>
      <c r="G31" s="99"/>
      <c r="H31" s="102">
        <f t="shared" si="18"/>
        <v>0</v>
      </c>
      <c r="I31" s="100">
        <v>0.75</v>
      </c>
      <c r="J31" s="99">
        <v>0.91666666666666696</v>
      </c>
      <c r="K31" s="102">
        <f t="shared" si="19"/>
        <v>0.16666666666666699</v>
      </c>
      <c r="L31" s="113">
        <f t="shared" si="20"/>
        <v>0.33333333333333298</v>
      </c>
    </row>
    <row r="32" spans="1:14">
      <c r="B32" s="98" t="s">
        <v>86</v>
      </c>
      <c r="C32" s="99"/>
      <c r="D32" s="99"/>
      <c r="E32" s="101">
        <f>IF(D32&gt;C32,D32-C32,C32-D32)</f>
        <v>0</v>
      </c>
      <c r="F32" s="100">
        <v>0.58333333333333304</v>
      </c>
      <c r="G32" s="99">
        <v>0.75</v>
      </c>
      <c r="H32" s="102">
        <f t="shared" ref="H32" si="21">IF(G32&gt;F32,G32-F32,F32-G32)</f>
        <v>0.16666666666666699</v>
      </c>
      <c r="I32" s="100">
        <v>0.75</v>
      </c>
      <c r="J32" s="99">
        <v>0.91666666666666696</v>
      </c>
      <c r="K32" s="102">
        <f t="shared" ref="K32" si="22">IF(J32&gt;I32,J32-I32,I32-J32)</f>
        <v>0.16666666666666699</v>
      </c>
      <c r="L32" s="113">
        <f t="shared" ref="L32" si="23">E32+H32+K32</f>
        <v>0.33333333333333298</v>
      </c>
    </row>
    <row r="33" spans="1:13" s="91" customFormat="1">
      <c r="A33" s="92"/>
      <c r="B33" s="136"/>
      <c r="C33" s="109"/>
      <c r="D33" s="109"/>
      <c r="E33" s="110">
        <f>SUM(E30:E31)</f>
        <v>0.33333333333333298</v>
      </c>
      <c r="F33" s="111"/>
      <c r="G33" s="111"/>
      <c r="H33" s="110">
        <f>SUM(H30:H31)</f>
        <v>0</v>
      </c>
      <c r="I33" s="109"/>
      <c r="J33" s="109"/>
      <c r="K33" s="110">
        <f>SUM(K30:K32)</f>
        <v>0.5</v>
      </c>
      <c r="L33" s="110">
        <f>SUM(L30:L32)</f>
        <v>1</v>
      </c>
      <c r="M33" s="92"/>
    </row>
    <row r="34" spans="1:13" s="91" customFormat="1">
      <c r="A34" s="92"/>
      <c r="B34" s="136"/>
      <c r="C34" s="133" t="str">
        <f>+C27</f>
        <v>CUISINE DETENTE</v>
      </c>
      <c r="D34" s="109"/>
      <c r="E34" s="141"/>
      <c r="F34" s="111"/>
      <c r="G34" s="143" t="s">
        <v>36</v>
      </c>
      <c r="H34" s="135">
        <f>+H27+1</f>
        <v>46248</v>
      </c>
      <c r="I34" s="109"/>
      <c r="J34" s="109"/>
      <c r="K34" s="141"/>
      <c r="L34" s="137"/>
      <c r="M34" s="92"/>
    </row>
    <row r="35" spans="1:13" s="91" customFormat="1">
      <c r="A35" s="92"/>
      <c r="B35" s="93"/>
      <c r="C35" s="172" t="s">
        <v>3</v>
      </c>
      <c r="D35" s="172"/>
      <c r="E35" s="172"/>
      <c r="F35" s="173" t="s">
        <v>4</v>
      </c>
      <c r="G35" s="173"/>
      <c r="H35" s="173"/>
      <c r="I35" s="174" t="s">
        <v>5</v>
      </c>
      <c r="J35" s="174"/>
      <c r="K35" s="174"/>
      <c r="L35" s="92"/>
      <c r="M35" s="92"/>
    </row>
    <row r="36" spans="1:13" s="91" customFormat="1">
      <c r="A36" s="92"/>
      <c r="B36" s="95" t="s">
        <v>6</v>
      </c>
      <c r="C36" s="96" t="s">
        <v>7</v>
      </c>
      <c r="D36" s="96" t="s">
        <v>8</v>
      </c>
      <c r="E36" s="96" t="s">
        <v>9</v>
      </c>
      <c r="F36" s="97" t="s">
        <v>7</v>
      </c>
      <c r="G36" s="97" t="s">
        <v>8</v>
      </c>
      <c r="H36" s="97" t="s">
        <v>9</v>
      </c>
      <c r="I36" s="112" t="s">
        <v>7</v>
      </c>
      <c r="J36" s="112" t="s">
        <v>8</v>
      </c>
      <c r="K36" s="112" t="s">
        <v>9</v>
      </c>
      <c r="L36" s="95" t="s">
        <v>10</v>
      </c>
      <c r="M36" s="92"/>
    </row>
    <row r="37" spans="1:13" s="91" customFormat="1">
      <c r="A37" s="92" t="s">
        <v>84</v>
      </c>
      <c r="B37" s="140" t="s">
        <v>85</v>
      </c>
      <c r="C37" s="99">
        <v>0.41666666666666702</v>
      </c>
      <c r="D37" s="99">
        <v>0.58333333333333304</v>
      </c>
      <c r="E37" s="101">
        <f>IF(D37&gt;C37,D37-C37,C37-D37)</f>
        <v>0.16666666666666699</v>
      </c>
      <c r="F37" s="100"/>
      <c r="G37" s="99"/>
      <c r="H37" s="102">
        <f t="shared" ref="H37:H39" si="24">IF(G37&gt;F37,G37-F37,F37-G37)</f>
        <v>0</v>
      </c>
      <c r="I37" s="100">
        <v>0.75</v>
      </c>
      <c r="J37" s="99">
        <v>0.91666666666666696</v>
      </c>
      <c r="K37" s="102">
        <f t="shared" ref="K37:K39" si="25">IF(J37&gt;I37,J37-I37,I37-J37)</f>
        <v>0.16666666666666699</v>
      </c>
      <c r="L37" s="113">
        <f t="shared" ref="L37:L39" si="26">E37+H37+K37</f>
        <v>0.33333333333333298</v>
      </c>
      <c r="M37" s="92"/>
    </row>
    <row r="38" spans="1:13">
      <c r="A38" s="92" t="s">
        <v>80</v>
      </c>
      <c r="B38" s="140" t="s">
        <v>57</v>
      </c>
      <c r="C38" s="99">
        <v>0.41666666666666702</v>
      </c>
      <c r="D38" s="99">
        <v>0.58333333333333304</v>
      </c>
      <c r="E38" s="101">
        <f>IF(D38&gt;C38,D38-C38,C38-D38)</f>
        <v>0.16666666666666699</v>
      </c>
      <c r="F38" s="100"/>
      <c r="G38" s="99"/>
      <c r="H38" s="102">
        <f t="shared" si="24"/>
        <v>0</v>
      </c>
      <c r="I38" s="100">
        <v>0.75</v>
      </c>
      <c r="J38" s="99">
        <v>0.91666666666666696</v>
      </c>
      <c r="K38" s="102">
        <f t="shared" si="25"/>
        <v>0.16666666666666699</v>
      </c>
      <c r="L38" s="113">
        <f t="shared" si="26"/>
        <v>0.33333333333333298</v>
      </c>
    </row>
    <row r="39" spans="1:13">
      <c r="B39" s="98" t="s">
        <v>86</v>
      </c>
      <c r="C39" s="100"/>
      <c r="D39" s="100"/>
      <c r="E39" s="101">
        <f>IF(D39&gt;C39,D39-C39,C39-D39)</f>
        <v>0</v>
      </c>
      <c r="F39" s="99">
        <v>0.58333333333333304</v>
      </c>
      <c r="G39" s="100">
        <v>0.75</v>
      </c>
      <c r="H39" s="102">
        <f t="shared" si="24"/>
        <v>0.16666666666666699</v>
      </c>
      <c r="I39" s="100">
        <v>0.75</v>
      </c>
      <c r="J39" s="99">
        <v>0.91666666666666696</v>
      </c>
      <c r="K39" s="102">
        <f t="shared" si="25"/>
        <v>0.16666666666666699</v>
      </c>
      <c r="L39" s="113">
        <f t="shared" si="26"/>
        <v>0.33333333333333298</v>
      </c>
    </row>
    <row r="40" spans="1:13" s="91" customFormat="1">
      <c r="A40" s="92"/>
      <c r="B40" s="136"/>
      <c r="C40" s="109"/>
      <c r="D40" s="109"/>
      <c r="E40" s="110">
        <f>SUM(E37:E38)</f>
        <v>0.33333333333333298</v>
      </c>
      <c r="F40" s="111"/>
      <c r="G40" s="111"/>
      <c r="H40" s="110">
        <f>SUM(H37:H38)</f>
        <v>0</v>
      </c>
      <c r="I40" s="109"/>
      <c r="J40" s="109"/>
      <c r="K40" s="110">
        <f>SUM(K37:K39)</f>
        <v>0.5</v>
      </c>
      <c r="L40" s="110">
        <f>SUM(L37:L39)</f>
        <v>1</v>
      </c>
      <c r="M40" s="92"/>
    </row>
    <row r="41" spans="1:13" s="91" customFormat="1">
      <c r="A41" s="92"/>
      <c r="B41" s="136"/>
      <c r="C41" s="133" t="str">
        <f>+C34</f>
        <v>CUISINE DETENTE</v>
      </c>
      <c r="D41" s="109"/>
      <c r="E41" s="141"/>
      <c r="F41" s="111"/>
      <c r="G41" s="142" t="s">
        <v>37</v>
      </c>
      <c r="H41" s="135">
        <f>+H34+1</f>
        <v>46249</v>
      </c>
      <c r="I41" s="109"/>
      <c r="J41" s="109"/>
      <c r="K41" s="141"/>
      <c r="L41" s="137"/>
      <c r="M41" s="92"/>
    </row>
    <row r="42" spans="1:13" s="91" customFormat="1">
      <c r="A42" s="92"/>
      <c r="B42" s="93"/>
      <c r="C42" s="172" t="s">
        <v>3</v>
      </c>
      <c r="D42" s="172"/>
      <c r="E42" s="172"/>
      <c r="F42" s="173" t="s">
        <v>4</v>
      </c>
      <c r="G42" s="173"/>
      <c r="H42" s="173"/>
      <c r="I42" s="174" t="s">
        <v>5</v>
      </c>
      <c r="J42" s="174"/>
      <c r="K42" s="174"/>
      <c r="L42" s="92"/>
      <c r="M42" s="92"/>
    </row>
    <row r="43" spans="1:13" s="91" customFormat="1">
      <c r="A43" s="92"/>
      <c r="B43" s="95" t="s">
        <v>6</v>
      </c>
      <c r="C43" s="96" t="s">
        <v>7</v>
      </c>
      <c r="D43" s="96" t="s">
        <v>8</v>
      </c>
      <c r="E43" s="96" t="s">
        <v>9</v>
      </c>
      <c r="F43" s="97" t="s">
        <v>7</v>
      </c>
      <c r="G43" s="97" t="s">
        <v>8</v>
      </c>
      <c r="H43" s="97" t="s">
        <v>9</v>
      </c>
      <c r="I43" s="112" t="s">
        <v>7</v>
      </c>
      <c r="J43" s="112" t="s">
        <v>8</v>
      </c>
      <c r="K43" s="112" t="s">
        <v>9</v>
      </c>
      <c r="L43" s="95" t="s">
        <v>10</v>
      </c>
      <c r="M43" s="92"/>
    </row>
    <row r="44" spans="1:13" s="91" customFormat="1">
      <c r="A44" s="92" t="s">
        <v>84</v>
      </c>
      <c r="B44" s="140" t="s">
        <v>85</v>
      </c>
      <c r="C44" s="99">
        <v>0.41666666666666702</v>
      </c>
      <c r="D44" s="99">
        <v>0.58333333333333304</v>
      </c>
      <c r="E44" s="101">
        <f>IF(D44&gt;C44,D44-C44,C44-D44)</f>
        <v>0.16666666666666699</v>
      </c>
      <c r="F44" s="100"/>
      <c r="G44" s="99"/>
      <c r="H44" s="102">
        <f t="shared" ref="H44:H46" si="27">IF(G44&gt;F44,G44-F44,F44-G44)</f>
        <v>0</v>
      </c>
      <c r="I44" s="100">
        <v>0.75</v>
      </c>
      <c r="J44" s="99">
        <v>0.91666666666666696</v>
      </c>
      <c r="K44" s="102">
        <f t="shared" ref="K44:K46" si="28">IF(J44&gt;I44,J44-I44,I44-J44)</f>
        <v>0.16666666666666699</v>
      </c>
      <c r="L44" s="113">
        <f t="shared" ref="L44:L46" si="29">E44+H44+K44</f>
        <v>0.33333333333333298</v>
      </c>
      <c r="M44" s="92"/>
    </row>
    <row r="45" spans="1:13" s="91" customFormat="1">
      <c r="A45" s="92" t="s">
        <v>80</v>
      </c>
      <c r="B45" s="140" t="s">
        <v>57</v>
      </c>
      <c r="C45" s="99">
        <v>0.41666666666666702</v>
      </c>
      <c r="D45" s="99">
        <v>0.58333333333333304</v>
      </c>
      <c r="E45" s="101">
        <f>IF(D45&gt;C45,D45-C45,C45-D45)</f>
        <v>0.16666666666666699</v>
      </c>
      <c r="F45" s="100"/>
      <c r="G45" s="99"/>
      <c r="H45" s="102">
        <f t="shared" ref="H45" si="30">IF(G45&gt;F45,G45-F45,F45-G45)</f>
        <v>0</v>
      </c>
      <c r="I45" s="100">
        <v>0.75</v>
      </c>
      <c r="J45" s="99">
        <v>0.91666666666666696</v>
      </c>
      <c r="K45" s="102">
        <f t="shared" ref="K45" si="31">IF(J45&gt;I45,J45-I45,I45-J45)</f>
        <v>0.16666666666666699</v>
      </c>
      <c r="L45" s="113">
        <f t="shared" ref="L45" si="32">E45+H45+K45</f>
        <v>0.33333333333333298</v>
      </c>
      <c r="M45" s="92"/>
    </row>
    <row r="46" spans="1:13">
      <c r="B46" s="98" t="s">
        <v>86</v>
      </c>
      <c r="C46" s="100"/>
      <c r="D46" s="100"/>
      <c r="E46" s="101">
        <f>IF(D46&gt;C46,D46-C46,C46-D46)</f>
        <v>0</v>
      </c>
      <c r="F46" s="99">
        <v>0.58333333333333304</v>
      </c>
      <c r="G46" s="100">
        <v>0.75</v>
      </c>
      <c r="H46" s="102">
        <f t="shared" si="27"/>
        <v>0.16666666666666699</v>
      </c>
      <c r="I46" s="100">
        <v>0.75</v>
      </c>
      <c r="J46" s="99">
        <v>0.91666666666666696</v>
      </c>
      <c r="K46" s="102">
        <f t="shared" si="28"/>
        <v>0.16666666666666699</v>
      </c>
      <c r="L46" s="113">
        <f t="shared" si="29"/>
        <v>0.33333333333333298</v>
      </c>
    </row>
    <row r="47" spans="1:13">
      <c r="B47" s="136"/>
      <c r="C47" s="109"/>
      <c r="D47" s="109"/>
      <c r="E47" s="110">
        <f>SUM(E44:E45)</f>
        <v>0.33333333333333298</v>
      </c>
      <c r="F47" s="111"/>
      <c r="G47" s="111"/>
      <c r="H47" s="110">
        <f>SUM(H44:H45)</f>
        <v>0</v>
      </c>
      <c r="I47" s="109"/>
      <c r="J47" s="109"/>
      <c r="K47" s="110">
        <f>SUM(K44:K46)</f>
        <v>0.5</v>
      </c>
      <c r="L47" s="110">
        <f>SUM(L44:L46)</f>
        <v>1</v>
      </c>
    </row>
    <row r="48" spans="1:13">
      <c r="B48" s="138"/>
      <c r="C48" s="133" t="str">
        <f>+C41</f>
        <v>CUISINE DETENTE</v>
      </c>
      <c r="E48" s="139"/>
      <c r="G48" s="144" t="s">
        <v>38</v>
      </c>
      <c r="H48" s="135">
        <f>+H41+1</f>
        <v>46250</v>
      </c>
      <c r="K48" s="139"/>
      <c r="L48" s="137"/>
    </row>
    <row r="49" spans="1:13">
      <c r="C49" s="172" t="s">
        <v>3</v>
      </c>
      <c r="D49" s="172"/>
      <c r="E49" s="172"/>
      <c r="F49" s="173" t="s">
        <v>4</v>
      </c>
      <c r="G49" s="173"/>
      <c r="H49" s="173"/>
      <c r="I49" s="174" t="s">
        <v>5</v>
      </c>
      <c r="J49" s="174"/>
      <c r="K49" s="174"/>
    </row>
    <row r="50" spans="1:13">
      <c r="B50" s="95" t="s">
        <v>6</v>
      </c>
      <c r="C50" s="96" t="s">
        <v>7</v>
      </c>
      <c r="D50" s="96" t="s">
        <v>8</v>
      </c>
      <c r="E50" s="96" t="s">
        <v>9</v>
      </c>
      <c r="F50" s="97" t="s">
        <v>7</v>
      </c>
      <c r="G50" s="97" t="s">
        <v>8</v>
      </c>
      <c r="H50" s="97" t="s">
        <v>9</v>
      </c>
      <c r="I50" s="112" t="s">
        <v>7</v>
      </c>
      <c r="J50" s="112" t="s">
        <v>8</v>
      </c>
      <c r="K50" s="112" t="s">
        <v>9</v>
      </c>
      <c r="L50" s="95" t="s">
        <v>10</v>
      </c>
    </row>
    <row r="51" spans="1:13" ht="15.75" customHeight="1">
      <c r="A51" s="92" t="s">
        <v>84</v>
      </c>
      <c r="B51" s="140" t="s">
        <v>85</v>
      </c>
      <c r="C51" s="99">
        <v>0.41666666666666702</v>
      </c>
      <c r="D51" s="99">
        <v>0.58333333333333304</v>
      </c>
      <c r="E51" s="101">
        <f>IF(D51&gt;C51,D51-C51,C51-D51)</f>
        <v>0.16666666666666699</v>
      </c>
      <c r="F51" s="100"/>
      <c r="G51" s="99"/>
      <c r="H51" s="102">
        <f t="shared" ref="H51:H53" si="33">IF(G51&gt;F51,G51-F51,F51-G51)</f>
        <v>0</v>
      </c>
      <c r="I51" s="100">
        <v>0.75</v>
      </c>
      <c r="J51" s="99">
        <v>0.91666666666666696</v>
      </c>
      <c r="K51" s="102">
        <f t="shared" ref="K51:K53" si="34">IF(J51&gt;I51,J51-I51,I51-J51)</f>
        <v>0.16666666666666699</v>
      </c>
      <c r="L51" s="113">
        <f t="shared" ref="L51:L53" si="35">E51+H51+K51</f>
        <v>0.33333333333333298</v>
      </c>
    </row>
    <row r="52" spans="1:13" ht="15.75" customHeight="1">
      <c r="A52" s="92" t="s">
        <v>80</v>
      </c>
      <c r="B52" s="140" t="s">
        <v>57</v>
      </c>
      <c r="C52" s="99">
        <v>0.41666666666666702</v>
      </c>
      <c r="D52" s="99">
        <v>0.58333333333333304</v>
      </c>
      <c r="E52" s="101">
        <f>IF(D52&gt;C52,D52-C52,C52-D52)</f>
        <v>0.16666666666666699</v>
      </c>
      <c r="F52" s="100"/>
      <c r="G52" s="99"/>
      <c r="H52" s="102">
        <f t="shared" si="33"/>
        <v>0</v>
      </c>
      <c r="I52" s="100">
        <v>0.75</v>
      </c>
      <c r="J52" s="99">
        <v>0.91666666666666696</v>
      </c>
      <c r="K52" s="102">
        <f t="shared" si="34"/>
        <v>0.16666666666666699</v>
      </c>
      <c r="L52" s="113">
        <f t="shared" si="35"/>
        <v>0.33333333333333298</v>
      </c>
    </row>
    <row r="53" spans="1:13">
      <c r="B53" s="98" t="s">
        <v>86</v>
      </c>
      <c r="C53" s="100"/>
      <c r="D53" s="100"/>
      <c r="E53" s="101">
        <f>IF(D53&gt;C53,D53-C53,C53-D53)</f>
        <v>0</v>
      </c>
      <c r="F53" s="99">
        <v>0.58333333333333304</v>
      </c>
      <c r="G53" s="100">
        <v>0.75</v>
      </c>
      <c r="H53" s="102">
        <f t="shared" si="33"/>
        <v>0.16666666666666699</v>
      </c>
      <c r="I53" s="100">
        <v>0.75</v>
      </c>
      <c r="J53" s="99">
        <v>0.91666666666666696</v>
      </c>
      <c r="K53" s="102">
        <f t="shared" si="34"/>
        <v>0.16666666666666699</v>
      </c>
      <c r="L53" s="113">
        <f t="shared" si="35"/>
        <v>0.33333333333333298</v>
      </c>
    </row>
    <row r="54" spans="1:13">
      <c r="B54" s="136"/>
      <c r="C54" s="109"/>
      <c r="D54" s="109"/>
      <c r="E54" s="110">
        <f>SUM(E51:E52)</f>
        <v>0.33333333333333298</v>
      </c>
      <c r="F54" s="111"/>
      <c r="G54" s="111"/>
      <c r="H54" s="110">
        <f>SUM(H51:H52)</f>
        <v>0</v>
      </c>
      <c r="I54" s="109"/>
      <c r="J54" s="109"/>
      <c r="K54" s="110">
        <f>SUM(K51:K53)</f>
        <v>0.5</v>
      </c>
      <c r="L54" s="110">
        <f>SUM(L51:L53)</f>
        <v>1</v>
      </c>
    </row>
    <row r="55" spans="1:13" s="91" customFormat="1">
      <c r="A55" s="92"/>
      <c r="B55" s="93"/>
      <c r="C55" s="93"/>
      <c r="D55" s="93"/>
      <c r="E55" s="92"/>
      <c r="F55" s="92"/>
      <c r="G55" s="92"/>
      <c r="H55" s="92"/>
      <c r="I55" s="93"/>
      <c r="J55" s="93"/>
      <c r="K55" s="92"/>
      <c r="L55" s="92"/>
      <c r="M55" s="92"/>
    </row>
    <row r="56" spans="1:13">
      <c r="B56" s="138"/>
      <c r="C56" s="133" t="str">
        <f>+C48</f>
        <v>CUISINE DETENTE</v>
      </c>
      <c r="E56" s="139"/>
      <c r="G56" s="134" t="s">
        <v>39</v>
      </c>
      <c r="H56" s="135">
        <f>+H48+1</f>
        <v>46251</v>
      </c>
      <c r="K56" s="139"/>
      <c r="L56" s="137"/>
    </row>
    <row r="57" spans="1:13">
      <c r="C57" s="172" t="s">
        <v>3</v>
      </c>
      <c r="D57" s="172"/>
      <c r="E57" s="172"/>
      <c r="F57" s="173" t="s">
        <v>4</v>
      </c>
      <c r="G57" s="173"/>
      <c r="H57" s="173"/>
      <c r="I57" s="174" t="s">
        <v>5</v>
      </c>
      <c r="J57" s="174"/>
      <c r="K57" s="174"/>
    </row>
    <row r="58" spans="1:13">
      <c r="B58" s="95" t="s">
        <v>6</v>
      </c>
      <c r="C58" s="96" t="s">
        <v>7</v>
      </c>
      <c r="D58" s="96" t="s">
        <v>8</v>
      </c>
      <c r="E58" s="96" t="s">
        <v>9</v>
      </c>
      <c r="F58" s="97" t="s">
        <v>7</v>
      </c>
      <c r="G58" s="97" t="s">
        <v>8</v>
      </c>
      <c r="H58" s="97" t="s">
        <v>9</v>
      </c>
      <c r="I58" s="112" t="s">
        <v>7</v>
      </c>
      <c r="J58" s="112" t="s">
        <v>8</v>
      </c>
      <c r="K58" s="112" t="s">
        <v>9</v>
      </c>
      <c r="L58" s="95" t="s">
        <v>10</v>
      </c>
    </row>
    <row r="59" spans="1:13" ht="15.75" customHeight="1">
      <c r="A59" s="92" t="s">
        <v>84</v>
      </c>
      <c r="B59" s="145" t="s">
        <v>85</v>
      </c>
      <c r="C59" s="99">
        <v>0.41666666666666702</v>
      </c>
      <c r="D59" s="99">
        <v>0.58333333333333304</v>
      </c>
      <c r="E59" s="101">
        <f>IF(D59&gt;C59,D59-C59,C59-D59)</f>
        <v>0.16666666666666699</v>
      </c>
      <c r="F59" s="100"/>
      <c r="G59" s="99"/>
      <c r="H59" s="102">
        <f t="shared" ref="H59" si="36">IF(G59&gt;F59,G59-F59,F59-G59)</f>
        <v>0</v>
      </c>
      <c r="I59" s="100">
        <v>0.75</v>
      </c>
      <c r="J59" s="99">
        <v>0.91666666666666696</v>
      </c>
      <c r="K59" s="102">
        <f t="shared" ref="K59" si="37">IF(J59&gt;I59,J59-I59,I59-J59)</f>
        <v>0.16666666666666699</v>
      </c>
      <c r="L59" s="113">
        <f t="shared" ref="L59" si="38">E59+H59+K59</f>
        <v>0.33333333333333298</v>
      </c>
    </row>
    <row r="60" spans="1:13" ht="15.75" customHeight="1">
      <c r="A60" s="92" t="s">
        <v>80</v>
      </c>
      <c r="B60" s="145" t="s">
        <v>57</v>
      </c>
      <c r="C60" s="105"/>
      <c r="D60" s="105"/>
      <c r="E60" s="106">
        <f>IF(D60&gt;C60,D60-C60,C60-D60)</f>
        <v>0</v>
      </c>
      <c r="F60" s="105"/>
      <c r="G60" s="105"/>
      <c r="H60" s="107">
        <f t="shared" ref="H60:H61" si="39">IF(G60&gt;F60,G60-F60,F60-G60)</f>
        <v>0</v>
      </c>
      <c r="I60" s="105"/>
      <c r="J60" s="105"/>
      <c r="K60" s="107">
        <f t="shared" ref="K60:K61" si="40">IF(J60&gt;I60,J60-I60,I60-J60)</f>
        <v>0</v>
      </c>
      <c r="L60" s="105">
        <f t="shared" ref="L60:L61" si="41">E60+H60+K60</f>
        <v>0</v>
      </c>
      <c r="M60" s="92" t="s">
        <v>25</v>
      </c>
    </row>
    <row r="61" spans="1:13">
      <c r="B61" s="146" t="s">
        <v>86</v>
      </c>
      <c r="C61" s="100"/>
      <c r="D61" s="100"/>
      <c r="E61" s="101">
        <f>IF(D61&gt;C61,D61-C61,C61-D61)</f>
        <v>0</v>
      </c>
      <c r="F61" s="99">
        <v>0.58333333333333304</v>
      </c>
      <c r="G61" s="100">
        <v>0.75</v>
      </c>
      <c r="H61" s="102">
        <f t="shared" si="39"/>
        <v>0.16666666666666699</v>
      </c>
      <c r="I61" s="100">
        <v>0.75</v>
      </c>
      <c r="J61" s="99">
        <v>0.91666666666666696</v>
      </c>
      <c r="K61" s="102">
        <f t="shared" si="40"/>
        <v>0.16666666666666699</v>
      </c>
      <c r="L61" s="113">
        <f t="shared" si="41"/>
        <v>0.33333333333333298</v>
      </c>
    </row>
    <row r="62" spans="1:13">
      <c r="B62" s="136"/>
      <c r="C62" s="109"/>
      <c r="D62" s="109"/>
      <c r="E62" s="110">
        <f>SUM(E59:E60)</f>
        <v>0.16666666666666699</v>
      </c>
      <c r="F62" s="111"/>
      <c r="G62" s="111"/>
      <c r="H62" s="110">
        <f>SUM(H59:H60)</f>
        <v>0</v>
      </c>
      <c r="I62" s="109"/>
      <c r="J62" s="109"/>
      <c r="K62" s="110">
        <f>SUM(K59:K61)</f>
        <v>0.33333333333333298</v>
      </c>
      <c r="L62" s="110">
        <f>SUM(L59:L61)</f>
        <v>0.66666666666666696</v>
      </c>
    </row>
  </sheetData>
  <mergeCells count="25">
    <mergeCell ref="C28:E28"/>
    <mergeCell ref="F28:H28"/>
    <mergeCell ref="I28:K28"/>
    <mergeCell ref="C6:E6"/>
    <mergeCell ref="F6:H6"/>
    <mergeCell ref="I6:K6"/>
    <mergeCell ref="C14:E14"/>
    <mergeCell ref="F14:H14"/>
    <mergeCell ref="I14:K14"/>
    <mergeCell ref="E2:I3"/>
    <mergeCell ref="C49:E49"/>
    <mergeCell ref="F49:H49"/>
    <mergeCell ref="I49:K49"/>
    <mergeCell ref="C57:E57"/>
    <mergeCell ref="F57:H57"/>
    <mergeCell ref="I57:K57"/>
    <mergeCell ref="C35:E35"/>
    <mergeCell ref="F35:H35"/>
    <mergeCell ref="I35:K35"/>
    <mergeCell ref="C42:E42"/>
    <mergeCell ref="F42:H42"/>
    <mergeCell ref="I42:K42"/>
    <mergeCell ref="C21:E21"/>
    <mergeCell ref="F21:H21"/>
    <mergeCell ref="I21:K21"/>
  </mergeCells>
  <pageMargins left="0.7" right="0.7" top="0.75" bottom="0.75" header="0.3" footer="0.3"/>
  <pageSetup paperSize="9" orientation="portrait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O86"/>
  <sheetViews>
    <sheetView zoomScale="85" zoomScaleNormal="85" workbookViewId="0">
      <selection activeCell="O84" sqref="O84"/>
    </sheetView>
  </sheetViews>
  <sheetFormatPr defaultColWidth="11" defaultRowHeight="15"/>
  <cols>
    <col min="5" max="5" width="12.85546875"/>
  </cols>
  <sheetData>
    <row r="2" spans="1:13">
      <c r="E2" s="171" t="s">
        <v>87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88</v>
      </c>
      <c r="G5" s="5" t="str">
        <f>+MAINTENANCE!G5</f>
        <v>LUNDI</v>
      </c>
      <c r="H5" s="6">
        <f>+MAINTENANCE!H5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70" customFormat="1">
      <c r="A8" s="117" t="s">
        <v>89</v>
      </c>
      <c r="B8" s="118" t="s">
        <v>90</v>
      </c>
      <c r="C8" s="57"/>
      <c r="D8" s="57"/>
      <c r="E8" s="57">
        <f t="shared" ref="E8:E11" si="0">IF(D8&gt;C8,D8-C8,C8-D8)</f>
        <v>0</v>
      </c>
      <c r="F8" s="57"/>
      <c r="G8" s="57"/>
      <c r="H8" s="55">
        <f>IF(G8&gt;F8,G8-F8,F8-G8)</f>
        <v>0</v>
      </c>
      <c r="I8" s="57"/>
      <c r="J8" s="57"/>
      <c r="K8" s="57">
        <f>IF(J8&gt;I8,J8-I8,I8-J8)</f>
        <v>0</v>
      </c>
      <c r="L8" s="17">
        <f>E8+H8+K8</f>
        <v>0</v>
      </c>
      <c r="M8" s="32" t="s">
        <v>25</v>
      </c>
    </row>
    <row r="9" spans="1:13" s="70" customFormat="1" hidden="1">
      <c r="A9" s="119" t="s">
        <v>91</v>
      </c>
      <c r="B9" s="10" t="s">
        <v>92</v>
      </c>
      <c r="C9" s="120"/>
      <c r="D9" s="120"/>
      <c r="E9" s="120">
        <f t="shared" si="0"/>
        <v>0</v>
      </c>
      <c r="F9" s="120"/>
      <c r="G9" s="120"/>
      <c r="H9" s="121">
        <f t="shared" ref="H9:H11" si="1">IF(G9&gt;F9,G9-F9,F9-G9)</f>
        <v>0</v>
      </c>
      <c r="I9" s="120"/>
      <c r="J9" s="120"/>
      <c r="K9" s="120">
        <f t="shared" ref="K9:K11" si="2">IF(J9&gt;I9,J9-I9,I9-J9)</f>
        <v>0</v>
      </c>
      <c r="L9" s="130">
        <f t="shared" ref="L9:L11" si="3">E9+H9+K9</f>
        <v>0</v>
      </c>
    </row>
    <row r="10" spans="1:13" s="70" customFormat="1">
      <c r="A10" s="117" t="s">
        <v>93</v>
      </c>
      <c r="B10" s="10" t="s">
        <v>94</v>
      </c>
      <c r="C10" s="122">
        <v>0.41666666666666702</v>
      </c>
      <c r="D10" s="122">
        <v>0.5</v>
      </c>
      <c r="E10" s="122">
        <f t="shared" si="0"/>
        <v>8.3333333333333301E-2</v>
      </c>
      <c r="F10" s="122">
        <v>0.5</v>
      </c>
      <c r="G10" s="122">
        <v>0.58333333333333304</v>
      </c>
      <c r="H10" s="123">
        <f t="shared" si="1"/>
        <v>8.3333333333333398E-2</v>
      </c>
      <c r="I10" s="122">
        <v>0.75</v>
      </c>
      <c r="J10" s="122">
        <v>0.91666666666666696</v>
      </c>
      <c r="K10" s="122">
        <f t="shared" si="2"/>
        <v>0.16666666666666699</v>
      </c>
      <c r="L10" s="17">
        <f t="shared" si="3"/>
        <v>0.33333333333333298</v>
      </c>
    </row>
    <row r="11" spans="1:13" s="70" customFormat="1">
      <c r="A11" s="117" t="s">
        <v>95</v>
      </c>
      <c r="B11" s="124" t="s">
        <v>96</v>
      </c>
      <c r="C11" s="56"/>
      <c r="D11" s="56"/>
      <c r="E11" s="56">
        <f t="shared" si="0"/>
        <v>0</v>
      </c>
      <c r="F11" s="56">
        <v>0.58333333333333304</v>
      </c>
      <c r="G11" s="56">
        <v>0.75</v>
      </c>
      <c r="H11" s="54">
        <f t="shared" si="1"/>
        <v>0.16666666666666699</v>
      </c>
      <c r="I11" s="56">
        <v>0.75</v>
      </c>
      <c r="J11" s="56">
        <v>0.91666666666666696</v>
      </c>
      <c r="K11" s="56">
        <f t="shared" si="2"/>
        <v>0.16666666666666699</v>
      </c>
      <c r="L11" s="17">
        <f t="shared" si="3"/>
        <v>0.33333333333333298</v>
      </c>
      <c r="M11" s="32"/>
    </row>
    <row r="12" spans="1:13" s="70" customFormat="1">
      <c r="A12" s="117" t="s">
        <v>97</v>
      </c>
      <c r="B12" s="124" t="s">
        <v>98</v>
      </c>
      <c r="C12" s="56"/>
      <c r="D12" s="56"/>
      <c r="E12" s="56">
        <f t="shared" ref="E12" si="4">IF(D12&gt;C12,D12-C12,C12-D12)</f>
        <v>0</v>
      </c>
      <c r="F12" s="56">
        <v>0.58333333333333304</v>
      </c>
      <c r="G12" s="56">
        <v>0.75</v>
      </c>
      <c r="H12" s="54">
        <f t="shared" ref="H12" si="5">IF(G12&gt;F12,G12-F12,F12-G12)</f>
        <v>0.16666666666666699</v>
      </c>
      <c r="I12" s="56">
        <v>0.75</v>
      </c>
      <c r="J12" s="56">
        <v>0.91666666666666696</v>
      </c>
      <c r="K12" s="56">
        <f t="shared" ref="K12" si="6">IF(J12&gt;I12,J12-I12,I12-J12)</f>
        <v>0.16666666666666699</v>
      </c>
      <c r="L12" s="17">
        <f t="shared" ref="L12" si="7">E12+H12+K12</f>
        <v>0.33333333333333298</v>
      </c>
      <c r="M12" s="32"/>
    </row>
    <row r="13" spans="1:13" s="70" customFormat="1">
      <c r="A13" s="117" t="s">
        <v>99</v>
      </c>
      <c r="B13" s="76" t="s">
        <v>100</v>
      </c>
      <c r="C13" s="56">
        <v>0.25</v>
      </c>
      <c r="D13" s="56">
        <v>0.5</v>
      </c>
      <c r="E13" s="56">
        <f t="shared" ref="E13" si="8">IF(D13&gt;C13,D13-C13,C13-D13)</f>
        <v>0.25</v>
      </c>
      <c r="F13" s="56">
        <v>0.5</v>
      </c>
      <c r="G13" s="56">
        <v>0.58333333333333304</v>
      </c>
      <c r="H13" s="54">
        <f t="shared" ref="H13" si="9">IF(G13&gt;F13,G13-F13,F13-G13)</f>
        <v>8.3333333333333398E-2</v>
      </c>
      <c r="I13" s="56"/>
      <c r="J13" s="56"/>
      <c r="K13" s="56">
        <f t="shared" ref="K13" si="10">IF(J13&gt;I13,J13-I13,I13-J13)</f>
        <v>0</v>
      </c>
      <c r="L13" s="17">
        <f t="shared" ref="L13" si="11">E13+H13+K13</f>
        <v>0.33333333333333298</v>
      </c>
    </row>
    <row r="14" spans="1:13" s="70" customFormat="1">
      <c r="A14" s="117"/>
      <c r="B14" s="76" t="s">
        <v>101</v>
      </c>
      <c r="C14" s="56">
        <v>0.25</v>
      </c>
      <c r="D14" s="56">
        <v>0.5</v>
      </c>
      <c r="E14" s="56">
        <f t="shared" ref="E14:E15" si="12">IF(D14&gt;C14,D14-C14,C14-D14)</f>
        <v>0.25</v>
      </c>
      <c r="F14" s="56">
        <v>0.5</v>
      </c>
      <c r="G14" s="56">
        <v>0.58333333333333304</v>
      </c>
      <c r="H14" s="54">
        <f t="shared" ref="H14:H15" si="13">IF(G14&gt;F14,G14-F14,F14-G14)</f>
        <v>8.3333333333333398E-2</v>
      </c>
      <c r="I14" s="56"/>
      <c r="J14" s="56"/>
      <c r="K14" s="56">
        <f t="shared" ref="K14:K15" si="14">IF(J14&gt;I14,J14-I14,I14-J14)</f>
        <v>0</v>
      </c>
      <c r="L14" s="17">
        <f t="shared" ref="L14:L15" si="15">E14+H14+K14</f>
        <v>0.33333333333333298</v>
      </c>
    </row>
    <row r="15" spans="1:13" s="70" customFormat="1">
      <c r="A15" s="117"/>
      <c r="B15" s="76" t="s">
        <v>102</v>
      </c>
      <c r="C15" s="122">
        <v>0.41666666666666702</v>
      </c>
      <c r="D15" s="122">
        <v>0.5</v>
      </c>
      <c r="E15" s="122">
        <f t="shared" si="12"/>
        <v>8.3333333333333301E-2</v>
      </c>
      <c r="F15" s="122">
        <v>0.5</v>
      </c>
      <c r="G15" s="122">
        <v>0.58333333333333304</v>
      </c>
      <c r="H15" s="123">
        <f t="shared" si="13"/>
        <v>8.3333333333333398E-2</v>
      </c>
      <c r="I15" s="122">
        <v>0.75</v>
      </c>
      <c r="J15" s="122">
        <v>0.91666666666666696</v>
      </c>
      <c r="K15" s="122">
        <f t="shared" si="14"/>
        <v>0.16666666666666699</v>
      </c>
      <c r="L15" s="17">
        <f t="shared" si="15"/>
        <v>0.33333333333333298</v>
      </c>
    </row>
    <row r="16" spans="1:13" s="70" customFormat="1">
      <c r="A16" s="117"/>
      <c r="B16" s="125"/>
      <c r="C16" s="126"/>
      <c r="D16" s="126"/>
      <c r="E16" s="126">
        <f>SUM(E8:E15)</f>
        <v>0.66666666666666696</v>
      </c>
      <c r="F16" s="126"/>
      <c r="G16" s="126"/>
      <c r="H16" s="126">
        <f>SUM(H8:H15)</f>
        <v>0.66666666666666696</v>
      </c>
      <c r="I16" s="126"/>
      <c r="J16" s="126"/>
      <c r="K16" s="126">
        <f>SUM(K8:K15)</f>
        <v>0.66666666666666696</v>
      </c>
      <c r="L16" s="21">
        <f>SUM(L8:L15)</f>
        <v>2</v>
      </c>
    </row>
    <row r="17" spans="1:13" s="70" customFormat="1">
      <c r="A17" s="117"/>
      <c r="B17" s="125"/>
      <c r="C17" s="126"/>
      <c r="D17" s="126"/>
      <c r="E17" s="126"/>
      <c r="F17" s="126"/>
      <c r="G17" s="126"/>
      <c r="H17" s="126"/>
      <c r="I17" s="126"/>
      <c r="J17" s="126"/>
      <c r="K17" s="126"/>
      <c r="L17" s="21"/>
    </row>
    <row r="18" spans="1:13" s="70" customFormat="1">
      <c r="A18" s="117"/>
      <c r="B18" s="125"/>
      <c r="C18" s="126"/>
      <c r="D18" s="126"/>
      <c r="E18" s="126"/>
      <c r="F18" s="126"/>
      <c r="G18" s="126"/>
      <c r="H18" s="126"/>
      <c r="I18" s="126"/>
      <c r="J18" s="126"/>
      <c r="K18" s="126"/>
      <c r="L18" s="21"/>
    </row>
    <row r="19" spans="1:13">
      <c r="C19" s="2" t="s">
        <v>88</v>
      </c>
      <c r="G19" s="5" t="s">
        <v>32</v>
      </c>
      <c r="H19" s="6">
        <f>+H5+1</f>
        <v>46245</v>
      </c>
    </row>
    <row r="20" spans="1:13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3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3" s="70" customFormat="1">
      <c r="A22" s="117" t="s">
        <v>89</v>
      </c>
      <c r="B22" s="76" t="s">
        <v>90</v>
      </c>
      <c r="C22" s="56">
        <v>0.25</v>
      </c>
      <c r="D22" s="56">
        <v>0.5</v>
      </c>
      <c r="E22" s="56">
        <f>IF(D22&gt;C22,D22-C22,C22-D22)</f>
        <v>0.25</v>
      </c>
      <c r="F22" s="56">
        <v>0.5</v>
      </c>
      <c r="G22" s="56">
        <v>0.58333333333333304</v>
      </c>
      <c r="H22" s="54">
        <f>IF(G22&gt;F22,G22-F22,F22-G22)</f>
        <v>8.3333333333333398E-2</v>
      </c>
      <c r="I22" s="56">
        <v>0.75</v>
      </c>
      <c r="J22" s="56">
        <v>0.91666666666666696</v>
      </c>
      <c r="K22" s="56">
        <f>IF(J22&gt;I22,J22-I22,I22-J22)</f>
        <v>0.16666666666666699</v>
      </c>
      <c r="L22" s="17">
        <f>E22+H22+K22</f>
        <v>0.5</v>
      </c>
      <c r="M22"/>
    </row>
    <row r="23" spans="1:13" s="70" customFormat="1">
      <c r="A23" s="117" t="s">
        <v>93</v>
      </c>
      <c r="B23" s="124" t="s">
        <v>94</v>
      </c>
      <c r="C23" s="56"/>
      <c r="D23" s="56"/>
      <c r="E23" s="56">
        <f t="shared" ref="E23:E27" si="16">IF(D23&gt;C23,D23-C23,C23-D23)</f>
        <v>0</v>
      </c>
      <c r="F23" s="56">
        <v>0.58333333333333304</v>
      </c>
      <c r="G23" s="56">
        <v>0.75</v>
      </c>
      <c r="H23" s="54">
        <f t="shared" ref="H23:H27" si="17">IF(G23&gt;F23,G23-F23,F23-G23)</f>
        <v>0.16666666666666699</v>
      </c>
      <c r="I23" s="56">
        <v>0.75</v>
      </c>
      <c r="J23" s="56">
        <v>0.91666666666666696</v>
      </c>
      <c r="K23" s="56">
        <f t="shared" ref="K23:K27" si="18">IF(J23&gt;I23,J23-I23,I23-J23)</f>
        <v>0.16666666666666699</v>
      </c>
      <c r="L23" s="17">
        <f t="shared" ref="L23:L27" si="19">E23+H23+K23</f>
        <v>0.33333333333333298</v>
      </c>
      <c r="M23"/>
    </row>
    <row r="24" spans="1:13" s="70" customFormat="1">
      <c r="A24" s="117" t="s">
        <v>95</v>
      </c>
      <c r="B24" s="10" t="s">
        <v>96</v>
      </c>
      <c r="C24" s="41"/>
      <c r="D24" s="41"/>
      <c r="E24" s="41">
        <f t="shared" si="16"/>
        <v>0</v>
      </c>
      <c r="F24" s="41"/>
      <c r="G24" s="41"/>
      <c r="H24" s="40">
        <f t="shared" si="17"/>
        <v>0</v>
      </c>
      <c r="I24" s="41"/>
      <c r="J24" s="41"/>
      <c r="K24" s="41">
        <f t="shared" si="18"/>
        <v>0</v>
      </c>
      <c r="L24" s="83">
        <f t="shared" si="19"/>
        <v>0</v>
      </c>
      <c r="M24" s="32" t="s">
        <v>25</v>
      </c>
    </row>
    <row r="25" spans="1:13" s="70" customFormat="1">
      <c r="A25" s="117" t="s">
        <v>97</v>
      </c>
      <c r="B25" s="124" t="s">
        <v>98</v>
      </c>
      <c r="C25" s="56"/>
      <c r="D25" s="56"/>
      <c r="E25" s="56">
        <f t="shared" si="16"/>
        <v>0</v>
      </c>
      <c r="F25" s="56">
        <v>0.58333333333333304</v>
      </c>
      <c r="G25" s="56">
        <v>0.75</v>
      </c>
      <c r="H25" s="54">
        <f t="shared" si="17"/>
        <v>0.16666666666666699</v>
      </c>
      <c r="I25" s="56">
        <v>0.75</v>
      </c>
      <c r="J25" s="56">
        <v>0.91666666666666696</v>
      </c>
      <c r="K25" s="56">
        <f t="shared" si="18"/>
        <v>0.16666666666666699</v>
      </c>
      <c r="L25" s="17">
        <f t="shared" si="19"/>
        <v>0.33333333333333298</v>
      </c>
      <c r="M25"/>
    </row>
    <row r="26" spans="1:13" s="70" customFormat="1">
      <c r="A26" s="117" t="s">
        <v>99</v>
      </c>
      <c r="B26" s="76" t="s">
        <v>100</v>
      </c>
      <c r="C26" s="56">
        <v>0.25</v>
      </c>
      <c r="D26" s="56">
        <v>0.5</v>
      </c>
      <c r="E26" s="56">
        <f t="shared" si="16"/>
        <v>0.25</v>
      </c>
      <c r="F26" s="56">
        <v>0.5</v>
      </c>
      <c r="G26" s="56">
        <v>0.58333333333333304</v>
      </c>
      <c r="H26" s="54">
        <f t="shared" si="17"/>
        <v>8.3333333333333398E-2</v>
      </c>
      <c r="I26" s="56"/>
      <c r="J26" s="56"/>
      <c r="K26" s="56">
        <f t="shared" si="18"/>
        <v>0</v>
      </c>
      <c r="L26" s="17">
        <f t="shared" si="19"/>
        <v>0.33333333333333298</v>
      </c>
      <c r="M26"/>
    </row>
    <row r="27" spans="1:13" s="70" customFormat="1">
      <c r="A27" s="127" t="s">
        <v>60</v>
      </c>
      <c r="B27" s="10" t="s">
        <v>61</v>
      </c>
      <c r="C27" s="56"/>
      <c r="D27" s="56"/>
      <c r="E27" s="56">
        <f t="shared" si="16"/>
        <v>0</v>
      </c>
      <c r="F27" s="56">
        <v>0.58333333333333304</v>
      </c>
      <c r="G27" s="56">
        <v>0.75</v>
      </c>
      <c r="H27" s="54">
        <f t="shared" si="17"/>
        <v>0.16666666666666699</v>
      </c>
      <c r="I27" s="56">
        <v>0.75</v>
      </c>
      <c r="J27" s="56">
        <v>0.91666666666666696</v>
      </c>
      <c r="K27" s="56">
        <f t="shared" si="18"/>
        <v>0.16666666666666699</v>
      </c>
      <c r="L27" s="17">
        <f t="shared" si="19"/>
        <v>0.33333333333333298</v>
      </c>
      <c r="M27"/>
    </row>
    <row r="28" spans="1:13" s="2" customFormat="1">
      <c r="B28" s="13"/>
      <c r="E28" s="29">
        <f>SUM(E22:E27)</f>
        <v>0.5</v>
      </c>
      <c r="H28" s="29">
        <f>SUM(H22:H27)</f>
        <v>0.66666666666666696</v>
      </c>
      <c r="K28" s="29">
        <f>SUM(K22:K27)</f>
        <v>0.66666666666666696</v>
      </c>
      <c r="L28" s="78">
        <f>SUM(L22:L27)</f>
        <v>1.8333333333333299</v>
      </c>
    </row>
    <row r="30" spans="1:13">
      <c r="C30" s="2" t="s">
        <v>88</v>
      </c>
      <c r="G30" s="5" t="s">
        <v>34</v>
      </c>
      <c r="H30" s="6">
        <f>+H19+1</f>
        <v>46246</v>
      </c>
    </row>
    <row r="31" spans="1:13">
      <c r="C31" s="168" t="s">
        <v>3</v>
      </c>
      <c r="D31" s="168"/>
      <c r="E31" s="168"/>
      <c r="F31" s="169" t="s">
        <v>4</v>
      </c>
      <c r="G31" s="169"/>
      <c r="H31" s="169"/>
      <c r="I31" s="170" t="s">
        <v>5</v>
      </c>
      <c r="J31" s="170"/>
      <c r="K31" s="170"/>
    </row>
    <row r="32" spans="1:13">
      <c r="B32" s="7" t="s">
        <v>6</v>
      </c>
      <c r="C32" s="8" t="s">
        <v>7</v>
      </c>
      <c r="D32" s="8" t="s">
        <v>8</v>
      </c>
      <c r="E32" s="8" t="s">
        <v>9</v>
      </c>
      <c r="F32" s="9" t="s">
        <v>7</v>
      </c>
      <c r="G32" s="9" t="s">
        <v>8</v>
      </c>
      <c r="H32" s="9" t="s">
        <v>9</v>
      </c>
      <c r="I32" s="16" t="s">
        <v>7</v>
      </c>
      <c r="J32" s="16" t="s">
        <v>8</v>
      </c>
      <c r="K32" s="16" t="s">
        <v>9</v>
      </c>
      <c r="L32" s="7" t="s">
        <v>10</v>
      </c>
    </row>
    <row r="33" spans="1:14" s="70" customFormat="1">
      <c r="A33" s="117" t="s">
        <v>89</v>
      </c>
      <c r="B33" s="76" t="s">
        <v>90</v>
      </c>
      <c r="C33" s="122">
        <v>0.41666666666666702</v>
      </c>
      <c r="D33" s="122">
        <v>0.5</v>
      </c>
      <c r="E33" s="122">
        <f>IF(D33&gt;C33,D33-C33,C33-D33)</f>
        <v>8.3333333333333301E-2</v>
      </c>
      <c r="F33" s="122">
        <v>0.5</v>
      </c>
      <c r="G33" s="122">
        <v>0.75</v>
      </c>
      <c r="H33" s="123">
        <f t="shared" ref="H33" si="20">IF(G33&gt;F33,G33-F33,F33-G33)</f>
        <v>0.25</v>
      </c>
      <c r="I33" s="56">
        <v>0.75</v>
      </c>
      <c r="J33" s="56">
        <v>0.91666666666666696</v>
      </c>
      <c r="K33" s="56">
        <f>IF(J33&gt;I33,J33-I33,I33-J33)</f>
        <v>0.16666666666666699</v>
      </c>
      <c r="L33" s="17">
        <f t="shared" ref="L33" si="21">E33+H33+K33</f>
        <v>0.5</v>
      </c>
      <c r="M33"/>
    </row>
    <row r="34" spans="1:14" s="70" customFormat="1" hidden="1">
      <c r="A34" s="128" t="s">
        <v>91</v>
      </c>
      <c r="B34" s="10" t="s">
        <v>92</v>
      </c>
      <c r="C34" s="120"/>
      <c r="D34" s="120"/>
      <c r="E34" s="120">
        <f t="shared" ref="E34:E38" si="22">IF(D34&gt;C34,D34-C34,C34-D34)</f>
        <v>0</v>
      </c>
      <c r="F34" s="120"/>
      <c r="G34" s="120"/>
      <c r="H34" s="121">
        <f t="shared" ref="H34:H38" si="23">IF(G34&gt;F34,G34-F34,F34-G34)</f>
        <v>0</v>
      </c>
      <c r="I34" s="120"/>
      <c r="J34" s="120"/>
      <c r="K34" s="120">
        <f t="shared" ref="K34:K38" si="24">IF(J34&gt;I34,J34-I34,I34-J34)</f>
        <v>0</v>
      </c>
      <c r="L34" s="130">
        <f t="shared" ref="L34:L38" si="25">E34+H34+K34</f>
        <v>0</v>
      </c>
    </row>
    <row r="35" spans="1:14" s="70" customFormat="1">
      <c r="A35" s="13" t="s">
        <v>93</v>
      </c>
      <c r="B35" s="124" t="s">
        <v>94</v>
      </c>
      <c r="C35" s="41"/>
      <c r="D35" s="41"/>
      <c r="E35" s="41">
        <f t="shared" si="22"/>
        <v>0</v>
      </c>
      <c r="F35" s="41"/>
      <c r="G35" s="41"/>
      <c r="H35" s="40">
        <f t="shared" si="23"/>
        <v>0</v>
      </c>
      <c r="I35" s="41"/>
      <c r="J35" s="41"/>
      <c r="K35" s="41">
        <f t="shared" si="24"/>
        <v>0</v>
      </c>
      <c r="L35" s="83">
        <f t="shared" si="25"/>
        <v>0</v>
      </c>
      <c r="M35" s="32" t="s">
        <v>25</v>
      </c>
    </row>
    <row r="36" spans="1:14" s="70" customFormat="1">
      <c r="A36" s="13" t="s">
        <v>95</v>
      </c>
      <c r="B36" s="76" t="s">
        <v>96</v>
      </c>
      <c r="C36" s="56">
        <v>0.25</v>
      </c>
      <c r="D36" s="56">
        <v>0.5</v>
      </c>
      <c r="E36" s="56">
        <f t="shared" si="22"/>
        <v>0.25</v>
      </c>
      <c r="F36" s="56">
        <v>0.5</v>
      </c>
      <c r="G36" s="56">
        <v>0.58333333333333304</v>
      </c>
      <c r="H36" s="54">
        <f t="shared" si="23"/>
        <v>8.3333333333333398E-2</v>
      </c>
      <c r="I36" s="56"/>
      <c r="J36" s="56"/>
      <c r="K36" s="56">
        <f t="shared" si="24"/>
        <v>0</v>
      </c>
      <c r="L36" s="17">
        <f t="shared" si="25"/>
        <v>0.33333333333333298</v>
      </c>
      <c r="M36" s="32"/>
    </row>
    <row r="37" spans="1:14" s="70" customFormat="1">
      <c r="A37" s="117" t="s">
        <v>97</v>
      </c>
      <c r="B37" s="124" t="s">
        <v>98</v>
      </c>
      <c r="C37" s="122">
        <v>0.41666666666666702</v>
      </c>
      <c r="D37" s="122">
        <v>0.5</v>
      </c>
      <c r="E37" s="122">
        <f t="shared" si="22"/>
        <v>8.3333333333333301E-2</v>
      </c>
      <c r="F37" s="122">
        <v>0.5</v>
      </c>
      <c r="G37" s="122">
        <v>0.75</v>
      </c>
      <c r="H37" s="123">
        <f t="shared" si="23"/>
        <v>0.25</v>
      </c>
      <c r="I37" s="122"/>
      <c r="J37" s="122"/>
      <c r="K37" s="122">
        <f t="shared" si="24"/>
        <v>0</v>
      </c>
      <c r="L37" s="17">
        <f t="shared" si="25"/>
        <v>0.33333333333333298</v>
      </c>
      <c r="M37"/>
    </row>
    <row r="38" spans="1:14" s="70" customFormat="1">
      <c r="A38" s="117" t="s">
        <v>99</v>
      </c>
      <c r="B38" s="124" t="s">
        <v>100</v>
      </c>
      <c r="C38" s="56"/>
      <c r="D38" s="56"/>
      <c r="E38" s="56">
        <f t="shared" si="22"/>
        <v>0</v>
      </c>
      <c r="F38" s="56">
        <v>0.58333333333333304</v>
      </c>
      <c r="G38" s="56">
        <v>0.75</v>
      </c>
      <c r="H38" s="54">
        <f t="shared" si="23"/>
        <v>0.16666666666666699</v>
      </c>
      <c r="I38" s="56">
        <v>0.75</v>
      </c>
      <c r="J38" s="56">
        <v>0.91666666666666696</v>
      </c>
      <c r="K38" s="56">
        <f t="shared" si="24"/>
        <v>0.16666666666666699</v>
      </c>
      <c r="L38" s="17">
        <f t="shared" si="25"/>
        <v>0.33333333333333298</v>
      </c>
      <c r="M38" s="32"/>
      <c r="N38" s="32"/>
    </row>
    <row r="39" spans="1:14" s="70" customFormat="1">
      <c r="A39" s="117"/>
      <c r="B39" s="129" t="s">
        <v>61</v>
      </c>
      <c r="C39" s="56">
        <v>0.25</v>
      </c>
      <c r="D39" s="56">
        <v>0.5</v>
      </c>
      <c r="E39" s="56">
        <f t="shared" ref="E39:E40" si="26">IF(D39&gt;C39,D39-C39,C39-D39)</f>
        <v>0.25</v>
      </c>
      <c r="F39" s="56">
        <v>0.5</v>
      </c>
      <c r="G39" s="56">
        <v>0.58333333333333304</v>
      </c>
      <c r="H39" s="54">
        <f>IF(G39&gt;F39,G39-F39,F39-G39)</f>
        <v>8.3333333333333398E-2</v>
      </c>
      <c r="I39" s="56"/>
      <c r="J39" s="56"/>
      <c r="K39" s="56">
        <f>IF(J39&gt;I39,J39-I39,I39-J39)</f>
        <v>0</v>
      </c>
      <c r="L39" s="17">
        <f>E39+H39+K39</f>
        <v>0.33333333333333298</v>
      </c>
      <c r="M39"/>
    </row>
    <row r="40" spans="1:14" s="70" customFormat="1">
      <c r="A40" s="117"/>
      <c r="B40" s="129" t="s">
        <v>102</v>
      </c>
      <c r="C40" s="56"/>
      <c r="D40" s="56"/>
      <c r="E40" s="56">
        <f t="shared" si="26"/>
        <v>0</v>
      </c>
      <c r="F40" s="56">
        <v>0.58333333333333304</v>
      </c>
      <c r="G40" s="56">
        <v>0.75</v>
      </c>
      <c r="H40" s="54">
        <f>IF(G40&gt;F40,G40-F40,F40-G40)</f>
        <v>0.16666666666666699</v>
      </c>
      <c r="I40" s="56">
        <v>0.75</v>
      </c>
      <c r="J40" s="56">
        <v>0.91666666666666696</v>
      </c>
      <c r="K40" s="56">
        <f>IF(J40&gt;I40,J40-I40,I40-J40)</f>
        <v>0.16666666666666699</v>
      </c>
      <c r="L40" s="17">
        <f>E40+H40+K40</f>
        <v>0.33333333333333298</v>
      </c>
      <c r="M40" s="32"/>
      <c r="N40" s="32"/>
    </row>
    <row r="41" spans="1:14" s="2" customFormat="1">
      <c r="E41" s="29">
        <f>SUM(E33:E40)</f>
        <v>0.66666666666666696</v>
      </c>
      <c r="H41" s="29">
        <f>SUM(H33:H40)</f>
        <v>1</v>
      </c>
      <c r="K41" s="29">
        <f>SUM(K33:K40)</f>
        <v>0.5</v>
      </c>
      <c r="L41" s="78">
        <f>SUM(L33:L40)</f>
        <v>2.1666666666666701</v>
      </c>
    </row>
    <row r="43" spans="1:14">
      <c r="C43" s="2" t="s">
        <v>88</v>
      </c>
      <c r="G43" s="5" t="s">
        <v>35</v>
      </c>
      <c r="H43" s="6">
        <f>+H30+1</f>
        <v>46247</v>
      </c>
    </row>
    <row r="44" spans="1:14">
      <c r="C44" s="168" t="s">
        <v>3</v>
      </c>
      <c r="D44" s="168"/>
      <c r="E44" s="168"/>
      <c r="F44" s="169" t="s">
        <v>4</v>
      </c>
      <c r="G44" s="169"/>
      <c r="H44" s="169"/>
      <c r="I44" s="170" t="s">
        <v>5</v>
      </c>
      <c r="J44" s="170"/>
      <c r="K44" s="170"/>
    </row>
    <row r="45" spans="1:14" ht="17.25" customHeight="1">
      <c r="B45" s="7" t="s">
        <v>6</v>
      </c>
      <c r="C45" s="8" t="s">
        <v>7</v>
      </c>
      <c r="D45" s="8" t="s">
        <v>8</v>
      </c>
      <c r="E45" s="8" t="s">
        <v>9</v>
      </c>
      <c r="F45" s="9" t="s">
        <v>7</v>
      </c>
      <c r="G45" s="9" t="s">
        <v>8</v>
      </c>
      <c r="H45" s="9" t="s">
        <v>9</v>
      </c>
      <c r="I45" s="16" t="s">
        <v>7</v>
      </c>
      <c r="J45" s="16" t="s">
        <v>8</v>
      </c>
      <c r="K45" s="16" t="s">
        <v>9</v>
      </c>
      <c r="L45" s="7" t="s">
        <v>10</v>
      </c>
    </row>
    <row r="46" spans="1:14" s="32" customFormat="1">
      <c r="A46" s="117" t="s">
        <v>89</v>
      </c>
      <c r="B46" s="118" t="s">
        <v>90</v>
      </c>
      <c r="C46" s="56"/>
      <c r="D46" s="56"/>
      <c r="E46" s="56">
        <f>IF(D46&gt;C46,D46-C46,C46-D46)</f>
        <v>0</v>
      </c>
      <c r="F46" s="56">
        <v>0.58333333333333304</v>
      </c>
      <c r="G46" s="56">
        <v>0.75</v>
      </c>
      <c r="H46" s="54">
        <f t="shared" ref="H46" si="27">IF(G46&gt;F46,G46-F46,F46-G46)</f>
        <v>0.16666666666666699</v>
      </c>
      <c r="I46" s="56">
        <v>0.75</v>
      </c>
      <c r="J46" s="56">
        <v>0.91666666666666696</v>
      </c>
      <c r="K46" s="56">
        <f t="shared" ref="K46" si="28">IF(J46&gt;I46,J46-I46,I46-J46)</f>
        <v>0.16666666666666699</v>
      </c>
      <c r="L46" s="17">
        <f t="shared" ref="L46" si="29">E46+H46+K46</f>
        <v>0.33333333333333298</v>
      </c>
    </row>
    <row r="47" spans="1:14" s="70" customFormat="1" hidden="1">
      <c r="A47" s="128" t="s">
        <v>91</v>
      </c>
      <c r="B47" s="10" t="s">
        <v>92</v>
      </c>
      <c r="C47" s="120"/>
      <c r="D47" s="120"/>
      <c r="E47" s="120">
        <f t="shared" ref="E47:E50" si="30">IF(D47&gt;C47,D47-C47,C47-D47)</f>
        <v>0</v>
      </c>
      <c r="F47" s="120"/>
      <c r="G47" s="120"/>
      <c r="H47" s="121">
        <f t="shared" ref="H47:H50" si="31">IF(G47&gt;F47,G47-F47,F47-G47)</f>
        <v>0</v>
      </c>
      <c r="I47" s="120"/>
      <c r="J47" s="120"/>
      <c r="K47" s="120">
        <f t="shared" ref="K47:K50" si="32">IF(J47&gt;I47,J47-I47,I47-J47)</f>
        <v>0</v>
      </c>
      <c r="L47" s="130">
        <f t="shared" ref="L47:L50" si="33">E47+H47+K47</f>
        <v>0</v>
      </c>
    </row>
    <row r="48" spans="1:14" s="70" customFormat="1">
      <c r="A48" s="13" t="s">
        <v>93</v>
      </c>
      <c r="B48" s="10" t="s">
        <v>94</v>
      </c>
      <c r="C48" s="56">
        <v>0.25</v>
      </c>
      <c r="D48" s="56">
        <v>0.5</v>
      </c>
      <c r="E48" s="56">
        <f t="shared" si="30"/>
        <v>0.25</v>
      </c>
      <c r="F48" s="56">
        <v>0.5</v>
      </c>
      <c r="G48" s="56">
        <v>0.58333333333333304</v>
      </c>
      <c r="H48" s="54">
        <f t="shared" si="31"/>
        <v>8.3333333333333398E-2</v>
      </c>
      <c r="I48" s="56"/>
      <c r="J48" s="56"/>
      <c r="K48" s="56">
        <f t="shared" si="32"/>
        <v>0</v>
      </c>
      <c r="L48" s="17">
        <f t="shared" si="33"/>
        <v>0.33333333333333298</v>
      </c>
      <c r="M48" s="32"/>
    </row>
    <row r="49" spans="1:15" s="70" customFormat="1">
      <c r="A49" s="13" t="s">
        <v>95</v>
      </c>
      <c r="B49" s="76" t="s">
        <v>96</v>
      </c>
      <c r="C49" s="56"/>
      <c r="D49" s="56"/>
      <c r="E49" s="56">
        <f t="shared" si="30"/>
        <v>0</v>
      </c>
      <c r="F49" s="56">
        <v>0.58333333333333304</v>
      </c>
      <c r="G49" s="56">
        <v>0.75</v>
      </c>
      <c r="H49" s="54">
        <f t="shared" si="31"/>
        <v>0.16666666666666699</v>
      </c>
      <c r="I49" s="56">
        <v>0.75</v>
      </c>
      <c r="J49" s="56">
        <v>0.91666666666666696</v>
      </c>
      <c r="K49" s="56">
        <f t="shared" si="32"/>
        <v>0.16666666666666699</v>
      </c>
      <c r="L49" s="17">
        <f t="shared" si="33"/>
        <v>0.33333333333333298</v>
      </c>
      <c r="M49" s="32"/>
      <c r="N49" s="32"/>
      <c r="O49" s="32"/>
    </row>
    <row r="50" spans="1:15" s="70" customFormat="1">
      <c r="A50" s="117" t="s">
        <v>97</v>
      </c>
      <c r="B50" s="76" t="s">
        <v>98</v>
      </c>
      <c r="C50" s="41"/>
      <c r="D50" s="41"/>
      <c r="E50" s="41">
        <f t="shared" si="30"/>
        <v>0</v>
      </c>
      <c r="F50" s="41"/>
      <c r="G50" s="41"/>
      <c r="H50" s="40">
        <f t="shared" si="31"/>
        <v>0</v>
      </c>
      <c r="I50" s="41"/>
      <c r="J50" s="41"/>
      <c r="K50" s="41">
        <f t="shared" si="32"/>
        <v>0</v>
      </c>
      <c r="L50" s="83">
        <f t="shared" si="33"/>
        <v>0</v>
      </c>
      <c r="M50" s="32" t="s">
        <v>25</v>
      </c>
    </row>
    <row r="51" spans="1:15" s="70" customFormat="1">
      <c r="A51" s="117" t="s">
        <v>99</v>
      </c>
      <c r="B51" s="124" t="s">
        <v>100</v>
      </c>
      <c r="C51" s="56">
        <v>0.25</v>
      </c>
      <c r="D51" s="56">
        <v>0.5</v>
      </c>
      <c r="E51" s="56">
        <f>IF(D51&gt;C51,D51-C51,C51-D51)</f>
        <v>0.25</v>
      </c>
      <c r="F51" s="56">
        <v>0.5</v>
      </c>
      <c r="G51" s="56">
        <v>0.58333333333333304</v>
      </c>
      <c r="H51" s="54">
        <f>IF(G51&gt;F51,G51-F51,F51-G51)</f>
        <v>8.3333333333333398E-2</v>
      </c>
      <c r="I51" s="56"/>
      <c r="J51" s="56"/>
      <c r="K51" s="56">
        <f>IF(J51&gt;I51,J51-I51,I51-J51)</f>
        <v>0</v>
      </c>
      <c r="L51" s="17">
        <f>E51+H51+K51</f>
        <v>0.33333333333333298</v>
      </c>
      <c r="M51" s="32"/>
    </row>
    <row r="52" spans="1:15" s="2" customFormat="1">
      <c r="E52" s="29">
        <f>SUM(E46:E51)</f>
        <v>0.5</v>
      </c>
      <c r="H52" s="29">
        <f>SUM(H46:H51)</f>
        <v>0.5</v>
      </c>
      <c r="K52" s="29">
        <f>SUM(K46:K51)</f>
        <v>0.33333333333333298</v>
      </c>
      <c r="L52" s="78">
        <f>SUM(L46:L51)</f>
        <v>1.3333333333333299</v>
      </c>
    </row>
    <row r="54" spans="1:15">
      <c r="C54" s="2" t="s">
        <v>88</v>
      </c>
      <c r="G54" s="5" t="s">
        <v>36</v>
      </c>
      <c r="H54" s="6">
        <f>+H43+1</f>
        <v>46248</v>
      </c>
    </row>
    <row r="55" spans="1:15">
      <c r="C55" s="168" t="s">
        <v>3</v>
      </c>
      <c r="D55" s="168"/>
      <c r="E55" s="168"/>
      <c r="F55" s="169" t="s">
        <v>4</v>
      </c>
      <c r="G55" s="169"/>
      <c r="H55" s="169"/>
      <c r="I55" s="170" t="s">
        <v>5</v>
      </c>
      <c r="J55" s="170"/>
      <c r="K55" s="170"/>
    </row>
    <row r="56" spans="1:15">
      <c r="B56" s="7" t="s">
        <v>6</v>
      </c>
      <c r="C56" s="8" t="s">
        <v>7</v>
      </c>
      <c r="D56" s="8" t="s">
        <v>8</v>
      </c>
      <c r="E56" s="8" t="s">
        <v>9</v>
      </c>
      <c r="F56" s="9" t="s">
        <v>7</v>
      </c>
      <c r="G56" s="9" t="s">
        <v>8</v>
      </c>
      <c r="H56" s="9" t="s">
        <v>9</v>
      </c>
      <c r="I56" s="16" t="s">
        <v>7</v>
      </c>
      <c r="J56" s="16" t="s">
        <v>8</v>
      </c>
      <c r="K56" s="16" t="s">
        <v>9</v>
      </c>
      <c r="L56" s="7" t="s">
        <v>10</v>
      </c>
    </row>
    <row r="57" spans="1:15">
      <c r="A57" s="117" t="s">
        <v>89</v>
      </c>
      <c r="B57" s="124" t="s">
        <v>90</v>
      </c>
      <c r="C57" s="122">
        <v>0.41666666666666702</v>
      </c>
      <c r="D57" s="122">
        <v>0.5</v>
      </c>
      <c r="E57" s="122">
        <f>IF(D57&gt;C57,D57-C57,C57-D57)</f>
        <v>8.3333333333333301E-2</v>
      </c>
      <c r="F57" s="122">
        <v>0.5</v>
      </c>
      <c r="G57" s="122">
        <v>0.58333333333333304</v>
      </c>
      <c r="H57" s="123">
        <f>IF(G57&gt;F57,G57-F57,F57-G57)</f>
        <v>8.3333333333333398E-2</v>
      </c>
      <c r="I57" s="122">
        <v>0.75</v>
      </c>
      <c r="J57" s="122">
        <v>0.91666666666666696</v>
      </c>
      <c r="K57" s="122">
        <f>IF(J57&gt;I57,J57-I57,I57-J57)</f>
        <v>0.16666666666666699</v>
      </c>
      <c r="L57" s="17">
        <f>E57+H57+K57</f>
        <v>0.33333333333333298</v>
      </c>
      <c r="M57" s="70"/>
    </row>
    <row r="58" spans="1:15" s="70" customFormat="1" hidden="1">
      <c r="A58" s="128" t="s">
        <v>91</v>
      </c>
      <c r="B58" s="10" t="s">
        <v>92</v>
      </c>
      <c r="C58" s="120"/>
      <c r="D58" s="120"/>
      <c r="E58" s="120">
        <f t="shared" ref="E58:E60" si="34">IF(D58&gt;C58,D58-C58,C58-D58)</f>
        <v>0</v>
      </c>
      <c r="F58" s="120"/>
      <c r="G58" s="120"/>
      <c r="H58" s="121">
        <f t="shared" ref="H58:H60" si="35">IF(G58&gt;F58,G58-F58,F58-G58)</f>
        <v>0</v>
      </c>
      <c r="I58" s="120"/>
      <c r="J58" s="120"/>
      <c r="K58" s="120">
        <f t="shared" ref="K58:K60" si="36">IF(J58&gt;I58,J58-I58,I58-J58)</f>
        <v>0</v>
      </c>
      <c r="L58" s="130">
        <f t="shared" ref="L58:L60" si="37">E58+H58+K58</f>
        <v>0</v>
      </c>
    </row>
    <row r="59" spans="1:15">
      <c r="A59" s="13" t="s">
        <v>93</v>
      </c>
      <c r="B59" s="76" t="s">
        <v>94</v>
      </c>
      <c r="C59" s="56"/>
      <c r="D59" s="56"/>
      <c r="E59" s="56">
        <f t="shared" si="34"/>
        <v>0</v>
      </c>
      <c r="F59" s="56">
        <v>0.58333333333333304</v>
      </c>
      <c r="G59" s="56">
        <v>0.75</v>
      </c>
      <c r="H59" s="54">
        <f t="shared" si="35"/>
        <v>0.16666666666666699</v>
      </c>
      <c r="I59" s="56">
        <v>0.75</v>
      </c>
      <c r="J59" s="56">
        <v>0.91666666666666696</v>
      </c>
      <c r="K59" s="56">
        <f t="shared" si="36"/>
        <v>0.16666666666666699</v>
      </c>
      <c r="L59" s="17">
        <f t="shared" si="37"/>
        <v>0.33333333333333298</v>
      </c>
    </row>
    <row r="60" spans="1:15">
      <c r="A60" s="13" t="s">
        <v>95</v>
      </c>
      <c r="B60" s="76" t="s">
        <v>96</v>
      </c>
      <c r="C60" s="122">
        <v>0.41666666666666702</v>
      </c>
      <c r="D60" s="122">
        <v>0.5</v>
      </c>
      <c r="E60" s="122">
        <f t="shared" si="34"/>
        <v>8.3333333333333301E-2</v>
      </c>
      <c r="F60" s="122">
        <v>0.5</v>
      </c>
      <c r="G60" s="122">
        <v>0.58333333333333304</v>
      </c>
      <c r="H60" s="123">
        <f t="shared" si="35"/>
        <v>8.3333333333333398E-2</v>
      </c>
      <c r="I60" s="122">
        <v>0.75</v>
      </c>
      <c r="J60" s="122">
        <v>0.91666666666666696</v>
      </c>
      <c r="K60" s="122">
        <f t="shared" si="36"/>
        <v>0.16666666666666699</v>
      </c>
      <c r="L60" s="17">
        <f t="shared" si="37"/>
        <v>0.33333333333333298</v>
      </c>
    </row>
    <row r="61" spans="1:15" s="70" customFormat="1">
      <c r="A61" s="117" t="s">
        <v>97</v>
      </c>
      <c r="B61" s="13" t="s">
        <v>98</v>
      </c>
      <c r="C61" s="56">
        <v>0.25</v>
      </c>
      <c r="D61" s="56">
        <v>0.5</v>
      </c>
      <c r="E61" s="56">
        <f>IF(D61&gt;C61,D61-C61,C61-D61)</f>
        <v>0.25</v>
      </c>
      <c r="F61" s="56">
        <v>0.5</v>
      </c>
      <c r="G61" s="56">
        <v>0.58333333333333304</v>
      </c>
      <c r="H61" s="54">
        <f t="shared" ref="H61:H62" si="38">IF(G61&gt;F61,G61-F61,F61-G61)</f>
        <v>8.3333333333333398E-2</v>
      </c>
      <c r="I61" s="56"/>
      <c r="J61" s="56"/>
      <c r="K61" s="56">
        <f t="shared" ref="K61:K62" si="39">IF(J61&gt;I61,J61-I61,I61-J61)</f>
        <v>0</v>
      </c>
      <c r="L61" s="17">
        <f t="shared" ref="L61:L62" si="40">E61+H61+K61</f>
        <v>0.33333333333333298</v>
      </c>
      <c r="M61"/>
    </row>
    <row r="62" spans="1:15" s="70" customFormat="1">
      <c r="A62" s="117" t="s">
        <v>99</v>
      </c>
      <c r="B62" s="124" t="s">
        <v>100</v>
      </c>
      <c r="C62" s="56"/>
      <c r="D62" s="56"/>
      <c r="E62" s="56">
        <f>IF(D62&gt;C62,D62-C62,C62-D62)</f>
        <v>0</v>
      </c>
      <c r="F62" s="56">
        <v>0.58333333333333304</v>
      </c>
      <c r="G62" s="56">
        <v>0.75</v>
      </c>
      <c r="H62" s="54">
        <f t="shared" si="38"/>
        <v>0.16666666666666699</v>
      </c>
      <c r="I62" s="56">
        <v>0.75</v>
      </c>
      <c r="J62" s="56">
        <v>0.91666666666666696</v>
      </c>
      <c r="K62" s="56">
        <f t="shared" si="39"/>
        <v>0.16666666666666699</v>
      </c>
      <c r="L62" s="17">
        <f t="shared" si="40"/>
        <v>0.33333333333333298</v>
      </c>
    </row>
    <row r="63" spans="1:15" s="2" customFormat="1">
      <c r="E63" s="29">
        <f>SUM(E57:E62)</f>
        <v>0.41666666666666702</v>
      </c>
      <c r="H63" s="29">
        <f>SUM(H57:H62)</f>
        <v>0.58333333333333304</v>
      </c>
      <c r="K63" s="29">
        <f>SUM(K57:K62)</f>
        <v>0.66666666666666696</v>
      </c>
      <c r="L63" s="78">
        <f>SUM(L57:L62)</f>
        <v>1.6666666666666701</v>
      </c>
    </row>
    <row r="65" spans="1:14">
      <c r="C65" s="2" t="s">
        <v>88</v>
      </c>
      <c r="G65" s="5" t="s">
        <v>37</v>
      </c>
      <c r="H65" s="6">
        <f>+H54+1</f>
        <v>46249</v>
      </c>
    </row>
    <row r="66" spans="1:14">
      <c r="C66" s="168" t="s">
        <v>3</v>
      </c>
      <c r="D66" s="168"/>
      <c r="E66" s="168"/>
      <c r="F66" s="169" t="s">
        <v>4</v>
      </c>
      <c r="G66" s="169"/>
      <c r="H66" s="169"/>
      <c r="I66" s="170" t="s">
        <v>5</v>
      </c>
      <c r="J66" s="170"/>
      <c r="K66" s="170"/>
    </row>
    <row r="67" spans="1:14">
      <c r="B67" s="7" t="s">
        <v>6</v>
      </c>
      <c r="C67" s="8" t="s">
        <v>7</v>
      </c>
      <c r="D67" s="8" t="s">
        <v>8</v>
      </c>
      <c r="E67" s="8" t="s">
        <v>9</v>
      </c>
      <c r="F67" s="9" t="s">
        <v>7</v>
      </c>
      <c r="G67" s="9" t="s">
        <v>8</v>
      </c>
      <c r="H67" s="9" t="s">
        <v>9</v>
      </c>
      <c r="I67" s="16" t="s">
        <v>7</v>
      </c>
      <c r="J67" s="16" t="s">
        <v>8</v>
      </c>
      <c r="K67" s="16" t="s">
        <v>9</v>
      </c>
      <c r="L67" s="7" t="s">
        <v>10</v>
      </c>
    </row>
    <row r="68" spans="1:14">
      <c r="A68" s="117" t="s">
        <v>89</v>
      </c>
      <c r="B68" s="124" t="s">
        <v>90</v>
      </c>
      <c r="C68" s="56">
        <v>0.25</v>
      </c>
      <c r="D68" s="56">
        <v>0.5</v>
      </c>
      <c r="E68" s="56">
        <f>IF(D68&gt;C68,D68-C68,C68-D68)</f>
        <v>0.25</v>
      </c>
      <c r="F68" s="56">
        <v>0.5</v>
      </c>
      <c r="G68" s="56">
        <v>0.58333333333333304</v>
      </c>
      <c r="H68" s="54">
        <f>IF(G68&gt;F68,G68-F68,F68-G68)</f>
        <v>8.3333333333333398E-2</v>
      </c>
      <c r="I68" s="56"/>
      <c r="J68" s="56"/>
      <c r="K68" s="56">
        <f>IF(J68&gt;I68,J68-I68,I68-J68)</f>
        <v>0</v>
      </c>
      <c r="L68" s="17">
        <f>E68+H68+K68</f>
        <v>0.33333333333333298</v>
      </c>
      <c r="M68" s="70"/>
      <c r="N68" s="70"/>
    </row>
    <row r="69" spans="1:14" s="70" customFormat="1" hidden="1">
      <c r="A69" s="128" t="s">
        <v>91</v>
      </c>
      <c r="B69" s="10" t="s">
        <v>92</v>
      </c>
      <c r="C69" s="120"/>
      <c r="D69" s="120"/>
      <c r="E69" s="120">
        <f t="shared" ref="E69:E72" si="41">IF(D69&gt;C69,D69-C69,C69-D69)</f>
        <v>0</v>
      </c>
      <c r="F69" s="120"/>
      <c r="G69" s="120"/>
      <c r="H69" s="121">
        <f t="shared" ref="H69:H72" si="42">IF(G69&gt;F69,G69-F69,F69-G69)</f>
        <v>0</v>
      </c>
      <c r="I69" s="120"/>
      <c r="J69" s="120"/>
      <c r="K69" s="120">
        <f t="shared" ref="K69:K72" si="43">IF(J69&gt;I69,J69-I69,I69-J69)</f>
        <v>0</v>
      </c>
      <c r="L69" s="130">
        <f t="shared" ref="L69:L72" si="44">E69+H69+K69</f>
        <v>0</v>
      </c>
    </row>
    <row r="70" spans="1:14">
      <c r="A70" s="13" t="s">
        <v>93</v>
      </c>
      <c r="B70" s="76" t="s">
        <v>94</v>
      </c>
      <c r="C70" s="56"/>
      <c r="D70" s="56"/>
      <c r="E70" s="56">
        <f t="shared" si="41"/>
        <v>0</v>
      </c>
      <c r="F70" s="56">
        <v>0.58333333333333304</v>
      </c>
      <c r="G70" s="56">
        <v>0.75</v>
      </c>
      <c r="H70" s="54">
        <f t="shared" si="42"/>
        <v>0.16666666666666699</v>
      </c>
      <c r="I70" s="56">
        <v>0.75</v>
      </c>
      <c r="J70" s="56">
        <v>0.91666666666666696</v>
      </c>
      <c r="K70" s="56">
        <f t="shared" si="43"/>
        <v>0.16666666666666699</v>
      </c>
      <c r="L70" s="17">
        <f t="shared" si="44"/>
        <v>0.33333333333333298</v>
      </c>
      <c r="M70" s="32"/>
      <c r="N70" s="70"/>
    </row>
    <row r="71" spans="1:14">
      <c r="A71" s="13" t="s">
        <v>95</v>
      </c>
      <c r="B71" s="124" t="s">
        <v>96</v>
      </c>
      <c r="C71" s="56"/>
      <c r="D71" s="56"/>
      <c r="E71" s="56">
        <f t="shared" si="41"/>
        <v>0</v>
      </c>
      <c r="F71" s="56">
        <v>0.58333333333333304</v>
      </c>
      <c r="G71" s="56">
        <v>0.75</v>
      </c>
      <c r="H71" s="54">
        <f t="shared" si="42"/>
        <v>0.16666666666666699</v>
      </c>
      <c r="I71" s="56">
        <v>0.75</v>
      </c>
      <c r="J71" s="56">
        <v>0.91666666666666696</v>
      </c>
      <c r="K71" s="56">
        <f t="shared" si="43"/>
        <v>0.16666666666666699</v>
      </c>
      <c r="L71" s="17">
        <f t="shared" si="44"/>
        <v>0.33333333333333298</v>
      </c>
      <c r="M71" s="70"/>
      <c r="N71" s="70"/>
    </row>
    <row r="72" spans="1:14" s="70" customFormat="1">
      <c r="A72" s="117" t="s">
        <v>97</v>
      </c>
      <c r="B72" s="76" t="s">
        <v>98</v>
      </c>
      <c r="C72" s="122">
        <v>0.41666666666666702</v>
      </c>
      <c r="D72" s="122">
        <v>0.5</v>
      </c>
      <c r="E72" s="122">
        <f t="shared" si="41"/>
        <v>8.3333333333333301E-2</v>
      </c>
      <c r="F72" s="122">
        <v>0.5</v>
      </c>
      <c r="G72" s="122">
        <v>0.58333333333333304</v>
      </c>
      <c r="H72" s="123">
        <f t="shared" si="42"/>
        <v>8.3333333333333398E-2</v>
      </c>
      <c r="I72" s="122">
        <v>0.75</v>
      </c>
      <c r="J72" s="122">
        <v>0.91666666666666696</v>
      </c>
      <c r="K72" s="122">
        <f t="shared" si="43"/>
        <v>0.16666666666666699</v>
      </c>
      <c r="L72" s="17">
        <f t="shared" si="44"/>
        <v>0.33333333333333298</v>
      </c>
      <c r="M72"/>
      <c r="N72"/>
    </row>
    <row r="73" spans="1:14" s="70" customFormat="1">
      <c r="A73" s="117" t="s">
        <v>99</v>
      </c>
      <c r="B73" s="13" t="s">
        <v>100</v>
      </c>
      <c r="C73" s="41"/>
      <c r="D73" s="41"/>
      <c r="E73" s="41">
        <f t="shared" ref="E73:E74" si="45">IF(D73&gt;C73,D73-C73,C73-D73)</f>
        <v>0</v>
      </c>
      <c r="F73" s="41"/>
      <c r="G73" s="41"/>
      <c r="H73" s="40">
        <f>IF(G73&gt;F73,G73-F73,F73-G73)</f>
        <v>0</v>
      </c>
      <c r="I73" s="41"/>
      <c r="J73" s="41"/>
      <c r="K73" s="41">
        <f>IF(J73&gt;I73,J73-I73,I73-J73)</f>
        <v>0</v>
      </c>
      <c r="L73" s="83">
        <f>E73+H73+K73</f>
        <v>0</v>
      </c>
      <c r="M73" s="32" t="s">
        <v>25</v>
      </c>
      <c r="N73"/>
    </row>
    <row r="74" spans="1:14" s="70" customFormat="1">
      <c r="A74" s="127" t="s">
        <v>60</v>
      </c>
      <c r="B74" s="76" t="s">
        <v>61</v>
      </c>
      <c r="C74" s="56">
        <v>0.25</v>
      </c>
      <c r="D74" s="56">
        <v>0.5</v>
      </c>
      <c r="E74" s="56">
        <f t="shared" si="45"/>
        <v>0.25</v>
      </c>
      <c r="F74" s="56">
        <v>0.5</v>
      </c>
      <c r="G74" s="56">
        <v>0.58333333333333304</v>
      </c>
      <c r="H74" s="54">
        <f>IF(G74&gt;F74,G74-F74,F74-G74)</f>
        <v>8.3333333333333398E-2</v>
      </c>
      <c r="I74" s="56"/>
      <c r="J74" s="56"/>
      <c r="K74" s="56">
        <f>IF(J74&gt;I74,J74-I74,I74-J74)</f>
        <v>0</v>
      </c>
      <c r="L74" s="17">
        <f>E74+H74+K74</f>
        <v>0.33333333333333298</v>
      </c>
      <c r="M74" s="32"/>
    </row>
    <row r="75" spans="1:14" s="2" customFormat="1">
      <c r="A75" s="131"/>
      <c r="E75" s="29">
        <f>SUM(E68:E74)</f>
        <v>0.58333333333333304</v>
      </c>
      <c r="H75" s="29">
        <f>SUM(H68:H74)</f>
        <v>0.58333333333333304</v>
      </c>
      <c r="K75" s="29">
        <f>SUM(K68:K74)</f>
        <v>0.5</v>
      </c>
      <c r="L75" s="78">
        <f>SUM(L68:L74)</f>
        <v>1.6666666666666701</v>
      </c>
    </row>
    <row r="76" spans="1:14">
      <c r="A76" s="13"/>
    </row>
    <row r="77" spans="1:14">
      <c r="A77" s="13"/>
      <c r="C77" s="2" t="s">
        <v>88</v>
      </c>
      <c r="G77" s="5" t="s">
        <v>38</v>
      </c>
      <c r="H77" s="6">
        <f>+H65+1</f>
        <v>46250</v>
      </c>
    </row>
    <row r="78" spans="1:14">
      <c r="A78" s="13"/>
      <c r="C78" s="168" t="s">
        <v>3</v>
      </c>
      <c r="D78" s="168"/>
      <c r="E78" s="168"/>
      <c r="F78" s="169" t="s">
        <v>4</v>
      </c>
      <c r="G78" s="169"/>
      <c r="H78" s="169"/>
      <c r="I78" s="170" t="s">
        <v>5</v>
      </c>
      <c r="J78" s="170"/>
      <c r="K78" s="170"/>
    </row>
    <row r="79" spans="1:14">
      <c r="A79" s="13"/>
      <c r="B79" s="7" t="s">
        <v>6</v>
      </c>
      <c r="C79" s="8" t="s">
        <v>7</v>
      </c>
      <c r="D79" s="8" t="s">
        <v>8</v>
      </c>
      <c r="E79" s="8" t="s">
        <v>9</v>
      </c>
      <c r="F79" s="9" t="s">
        <v>7</v>
      </c>
      <c r="G79" s="9" t="s">
        <v>8</v>
      </c>
      <c r="H79" s="9" t="s">
        <v>9</v>
      </c>
      <c r="I79" s="16" t="s">
        <v>7</v>
      </c>
      <c r="J79" s="16" t="s">
        <v>8</v>
      </c>
      <c r="K79" s="16" t="s">
        <v>9</v>
      </c>
      <c r="L79" s="7" t="s">
        <v>10</v>
      </c>
    </row>
    <row r="80" spans="1:14">
      <c r="A80" s="117" t="s">
        <v>89</v>
      </c>
      <c r="B80" s="76" t="s">
        <v>90</v>
      </c>
      <c r="C80" s="56"/>
      <c r="D80" s="56"/>
      <c r="E80" s="56">
        <f>IF(D80&gt;C80,D80-C80,C80-D80)</f>
        <v>0</v>
      </c>
      <c r="F80" s="56">
        <v>0.58333333333333304</v>
      </c>
      <c r="G80" s="56">
        <v>0.75</v>
      </c>
      <c r="H80" s="54">
        <f>IF(G80&gt;F80,G80-F80,F80-G80)</f>
        <v>0.16666666666666699</v>
      </c>
      <c r="I80" s="56">
        <v>0.75</v>
      </c>
      <c r="J80" s="56">
        <v>0.91666666666666696</v>
      </c>
      <c r="K80" s="56">
        <f>IF(J80&gt;I80,J80-I80,I80-J80)</f>
        <v>0.16666666666666699</v>
      </c>
      <c r="L80" s="17">
        <f>E80+H80+K80</f>
        <v>0.33333333333333298</v>
      </c>
    </row>
    <row r="81" spans="1:13" s="70" customFormat="1" hidden="1">
      <c r="A81" s="128" t="s">
        <v>91</v>
      </c>
      <c r="B81" s="10" t="s">
        <v>92</v>
      </c>
      <c r="C81" s="120"/>
      <c r="D81" s="120"/>
      <c r="E81" s="120">
        <f t="shared" ref="E81:E85" si="46">IF(D81&gt;C81,D81-C81,C81-D81)</f>
        <v>0</v>
      </c>
      <c r="F81" s="120"/>
      <c r="G81" s="120"/>
      <c r="H81" s="121">
        <f>IF(G81&gt;F81,G81-F81,F81-G81)</f>
        <v>0</v>
      </c>
      <c r="I81" s="120"/>
      <c r="J81" s="120"/>
      <c r="K81" s="120">
        <f>IF(J81&gt;I81,J81-I81,I81-J81)</f>
        <v>0</v>
      </c>
      <c r="L81" s="130">
        <f>E81+H81+K81</f>
        <v>0</v>
      </c>
    </row>
    <row r="82" spans="1:13">
      <c r="A82" s="13" t="s">
        <v>93</v>
      </c>
      <c r="B82" s="124" t="s">
        <v>94</v>
      </c>
      <c r="C82" s="56">
        <v>0.25</v>
      </c>
      <c r="D82" s="56">
        <v>0.5</v>
      </c>
      <c r="E82" s="56">
        <f t="shared" si="46"/>
        <v>0.25</v>
      </c>
      <c r="F82" s="56">
        <v>0.5</v>
      </c>
      <c r="G82" s="56">
        <v>0.58333333333333304</v>
      </c>
      <c r="H82" s="54">
        <f>IF(G82&gt;F82,G82-F82,F82-G82)</f>
        <v>8.3333333333333398E-2</v>
      </c>
      <c r="I82" s="56"/>
      <c r="J82" s="56"/>
      <c r="K82" s="56">
        <f>IF(J82&gt;I82,J82-I82,I82-J82)</f>
        <v>0</v>
      </c>
      <c r="L82" s="17">
        <f>E82+H82+K82</f>
        <v>0.33333333333333298</v>
      </c>
    </row>
    <row r="83" spans="1:13">
      <c r="A83" s="13" t="s">
        <v>95</v>
      </c>
      <c r="B83" s="124" t="s">
        <v>96</v>
      </c>
      <c r="C83" s="56"/>
      <c r="D83" s="56"/>
      <c r="E83" s="56">
        <f t="shared" si="46"/>
        <v>0</v>
      </c>
      <c r="F83" s="56">
        <v>0.58333333333333304</v>
      </c>
      <c r="G83" s="56">
        <v>0.75</v>
      </c>
      <c r="H83" s="54">
        <f>IF(G83&gt;F83,G83-F83,F83-G83)</f>
        <v>0.16666666666666699</v>
      </c>
      <c r="I83" s="56">
        <v>0.75</v>
      </c>
      <c r="J83" s="56">
        <v>0.91666666666666696</v>
      </c>
      <c r="K83" s="56">
        <f>IF(J83&gt;I83,J83-I83,I83-J83)</f>
        <v>0.16666666666666699</v>
      </c>
      <c r="L83" s="17">
        <f>E83+H83+K83</f>
        <v>0.33333333333333298</v>
      </c>
    </row>
    <row r="84" spans="1:13" s="70" customFormat="1">
      <c r="A84" s="117" t="s">
        <v>97</v>
      </c>
      <c r="B84" s="124" t="s">
        <v>98</v>
      </c>
      <c r="C84" s="56"/>
      <c r="D84" s="56"/>
      <c r="E84" s="56">
        <f t="shared" si="46"/>
        <v>0</v>
      </c>
      <c r="F84" s="56">
        <v>0.58333333333333304</v>
      </c>
      <c r="G84" s="56">
        <v>0.75</v>
      </c>
      <c r="H84" s="54">
        <f t="shared" ref="H84:H85" si="47">IF(G84&gt;F84,G84-F84,F84-G84)</f>
        <v>0.16666666666666699</v>
      </c>
      <c r="I84" s="56">
        <v>0.75</v>
      </c>
      <c r="J84" s="56">
        <v>0.91666666666666696</v>
      </c>
      <c r="K84" s="56">
        <f t="shared" ref="K84:K85" si="48">IF(J84&gt;I84,J84-I84,I84-J84)</f>
        <v>0.16666666666666699</v>
      </c>
      <c r="L84" s="17">
        <f t="shared" ref="L84:L85" si="49">E84+H84+K84</f>
        <v>0.33333333333333298</v>
      </c>
      <c r="M84"/>
    </row>
    <row r="85" spans="1:13" s="70" customFormat="1">
      <c r="A85" s="117" t="s">
        <v>99</v>
      </c>
      <c r="B85" s="76" t="s">
        <v>100</v>
      </c>
      <c r="C85" s="56">
        <v>0.25</v>
      </c>
      <c r="D85" s="56">
        <v>0.5</v>
      </c>
      <c r="E85" s="56">
        <f t="shared" si="46"/>
        <v>0.25</v>
      </c>
      <c r="F85" s="56">
        <v>0.5</v>
      </c>
      <c r="G85" s="56">
        <v>0.58333333333333304</v>
      </c>
      <c r="H85" s="54">
        <f t="shared" si="47"/>
        <v>8.3333333333333398E-2</v>
      </c>
      <c r="I85" s="56"/>
      <c r="J85" s="56"/>
      <c r="K85" s="56">
        <f t="shared" si="48"/>
        <v>0</v>
      </c>
      <c r="L85" s="17">
        <f t="shared" si="49"/>
        <v>0.33333333333333298</v>
      </c>
      <c r="M85"/>
    </row>
    <row r="86" spans="1:13" s="2" customFormat="1">
      <c r="E86" s="29">
        <f>SUM(E80:E85)</f>
        <v>0.5</v>
      </c>
      <c r="H86" s="29">
        <f>SUM(H80:H85)</f>
        <v>0.66666666666666696</v>
      </c>
      <c r="K86" s="29">
        <f>SUM(K80:K85)</f>
        <v>0.5</v>
      </c>
      <c r="L86" s="78">
        <f>SUM(L80:L85)</f>
        <v>1.6666666666666701</v>
      </c>
    </row>
  </sheetData>
  <mergeCells count="22">
    <mergeCell ref="C6:E6"/>
    <mergeCell ref="F6:H6"/>
    <mergeCell ref="I6:K6"/>
    <mergeCell ref="C20:E20"/>
    <mergeCell ref="F20:H20"/>
    <mergeCell ref="I20:K20"/>
    <mergeCell ref="C78:E78"/>
    <mergeCell ref="F78:H78"/>
    <mergeCell ref="I78:K78"/>
    <mergeCell ref="E2:I3"/>
    <mergeCell ref="C55:E55"/>
    <mergeCell ref="F55:H55"/>
    <mergeCell ref="I55:K55"/>
    <mergeCell ref="C66:E66"/>
    <mergeCell ref="F66:H66"/>
    <mergeCell ref="I66:K66"/>
    <mergeCell ref="C31:E31"/>
    <mergeCell ref="F31:H31"/>
    <mergeCell ref="I31:K31"/>
    <mergeCell ref="C44:E44"/>
    <mergeCell ref="F44:H44"/>
    <mergeCell ref="I44:K44"/>
  </mergeCells>
  <pageMargins left="0.7" right="0.7" top="0.75" bottom="0.75" header="0.3" footer="0.3"/>
  <pageSetup paperSize="9" orientation="portrait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M158"/>
  <sheetViews>
    <sheetView zoomScale="96" zoomScaleNormal="96" workbookViewId="0">
      <selection activeCell="T11" sqref="T11"/>
    </sheetView>
  </sheetViews>
  <sheetFormatPr defaultColWidth="11.42578125" defaultRowHeight="15.75"/>
  <cols>
    <col min="1" max="1" width="11.42578125" style="92"/>
    <col min="2" max="2" width="13.140625" style="93" customWidth="1"/>
    <col min="3" max="4" width="11.42578125" style="93"/>
    <col min="5" max="8" width="11.42578125" style="92"/>
    <col min="9" max="10" width="11.42578125" style="93"/>
    <col min="11" max="16384" width="11.42578125" style="92"/>
  </cols>
  <sheetData>
    <row r="2" spans="1:13">
      <c r="E2" s="171" t="s">
        <v>103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>
      <c r="E4" s="92" t="s">
        <v>1</v>
      </c>
    </row>
    <row r="5" spans="1:13">
      <c r="C5" s="94" t="s">
        <v>104</v>
      </c>
      <c r="G5" s="5" t="str">
        <f>+MAINTENANCE!G5</f>
        <v>LUNDI</v>
      </c>
      <c r="H5" s="6">
        <f>+'CUISINE DETENTE'!H5</f>
        <v>46244</v>
      </c>
    </row>
    <row r="6" spans="1:13">
      <c r="C6" s="172" t="s">
        <v>3</v>
      </c>
      <c r="D6" s="172"/>
      <c r="E6" s="172"/>
      <c r="F6" s="173" t="s">
        <v>4</v>
      </c>
      <c r="G6" s="173"/>
      <c r="H6" s="173"/>
      <c r="I6" s="174" t="s">
        <v>5</v>
      </c>
      <c r="J6" s="174"/>
      <c r="K6" s="174"/>
    </row>
    <row r="7" spans="1:13">
      <c r="B7" s="95" t="s">
        <v>6</v>
      </c>
      <c r="C7" s="96" t="s">
        <v>7</v>
      </c>
      <c r="D7" s="96" t="s">
        <v>8</v>
      </c>
      <c r="E7" s="96" t="s">
        <v>9</v>
      </c>
      <c r="F7" s="97" t="s">
        <v>7</v>
      </c>
      <c r="G7" s="97" t="s">
        <v>8</v>
      </c>
      <c r="H7" s="97" t="s">
        <v>9</v>
      </c>
      <c r="I7" s="112" t="s">
        <v>7</v>
      </c>
      <c r="J7" s="112" t="s">
        <v>8</v>
      </c>
      <c r="K7" s="112" t="s">
        <v>9</v>
      </c>
      <c r="L7" s="95" t="s">
        <v>10</v>
      </c>
    </row>
    <row r="8" spans="1:13">
      <c r="A8" s="93" t="s">
        <v>105</v>
      </c>
      <c r="B8" s="98" t="s">
        <v>106</v>
      </c>
      <c r="C8" s="99">
        <v>0.41666666666666702</v>
      </c>
      <c r="D8" s="100">
        <v>0.58333333333333304</v>
      </c>
      <c r="E8" s="101">
        <f t="shared" ref="E8" si="0">IF(D8&gt;C8,D8-C8,C8-D8)</f>
        <v>0.16666666666666699</v>
      </c>
      <c r="F8" s="100"/>
      <c r="G8" s="99"/>
      <c r="H8" s="102">
        <f t="shared" ref="H8" si="1">IF(G8&gt;F8,G8-F8,F8-G8)</f>
        <v>0</v>
      </c>
      <c r="I8" s="99">
        <v>0.75</v>
      </c>
      <c r="J8" s="99">
        <v>0.91666666666666696</v>
      </c>
      <c r="K8" s="102">
        <f t="shared" ref="K8" si="2">IF(J8&gt;I8,J8-I8,I8-J8)</f>
        <v>0.16666666666666699</v>
      </c>
      <c r="L8" s="113">
        <f t="shared" ref="L8" si="3">E8+H8+K8</f>
        <v>0.33333333333333298</v>
      </c>
    </row>
    <row r="9" spans="1:13">
      <c r="A9" s="93" t="s">
        <v>107</v>
      </c>
      <c r="B9" s="103" t="s">
        <v>108</v>
      </c>
      <c r="C9" s="99">
        <v>0.25</v>
      </c>
      <c r="D9" s="100">
        <v>0.5</v>
      </c>
      <c r="E9" s="101">
        <f t="shared" ref="E9:E10" si="4">IF(D9&gt;C9,D9-C9,C9-D9)</f>
        <v>0.25</v>
      </c>
      <c r="F9" s="100">
        <v>0.5</v>
      </c>
      <c r="G9" s="99">
        <v>0.58333333333333304</v>
      </c>
      <c r="H9" s="102">
        <f t="shared" ref="H9:H10" si="5">IF(G9&gt;F9,G9-F9,F9-G9)</f>
        <v>8.3333333333333398E-2</v>
      </c>
      <c r="I9" s="100"/>
      <c r="J9" s="100"/>
      <c r="K9" s="102">
        <f t="shared" ref="K9:K10" si="6">IF(J9&gt;I9,J9-I9,I9-J9)</f>
        <v>0</v>
      </c>
      <c r="L9" s="113">
        <f t="shared" ref="L9:L10" si="7">E9+H9+K9</f>
        <v>0.33333333333333298</v>
      </c>
    </row>
    <row r="10" spans="1:13">
      <c r="A10" s="93" t="s">
        <v>109</v>
      </c>
      <c r="B10" s="104" t="s">
        <v>70</v>
      </c>
      <c r="C10" s="100"/>
      <c r="D10" s="100"/>
      <c r="E10" s="101">
        <f t="shared" si="4"/>
        <v>0</v>
      </c>
      <c r="F10" s="99">
        <v>0.58333333333333304</v>
      </c>
      <c r="G10" s="100">
        <v>0.75</v>
      </c>
      <c r="H10" s="102">
        <f t="shared" si="5"/>
        <v>0.16666666666666699</v>
      </c>
      <c r="I10" s="99">
        <v>0.75</v>
      </c>
      <c r="J10" s="99">
        <v>0.91666666666666696</v>
      </c>
      <c r="K10" s="102">
        <f t="shared" si="6"/>
        <v>0.16666666666666699</v>
      </c>
      <c r="L10" s="113">
        <f t="shared" si="7"/>
        <v>0.33333333333333298</v>
      </c>
    </row>
    <row r="11" spans="1:13">
      <c r="A11" s="93" t="s">
        <v>110</v>
      </c>
      <c r="B11" s="98" t="s">
        <v>111</v>
      </c>
      <c r="C11" s="105"/>
      <c r="D11" s="105"/>
      <c r="E11" s="106">
        <f t="shared" ref="E11" si="8">IF(D11&gt;C11,D11-C11,C11-D11)</f>
        <v>0</v>
      </c>
      <c r="F11" s="105"/>
      <c r="G11" s="105"/>
      <c r="H11" s="107">
        <f t="shared" ref="H11" si="9">IF(G11&gt;F11,G11-F11,F11-G11)</f>
        <v>0</v>
      </c>
      <c r="I11" s="105"/>
      <c r="J11" s="105"/>
      <c r="K11" s="107">
        <f t="shared" ref="K11" si="10">IF(J11&gt;I11,J11-I11,I11-J11)</f>
        <v>0</v>
      </c>
      <c r="L11" s="114">
        <f t="shared" ref="L11" si="11">E11+H11+K11</f>
        <v>0</v>
      </c>
      <c r="M11" s="115" t="s">
        <v>25</v>
      </c>
    </row>
    <row r="12" spans="1:13">
      <c r="A12" s="93" t="s">
        <v>112</v>
      </c>
      <c r="B12" s="98" t="s">
        <v>113</v>
      </c>
      <c r="C12" s="105"/>
      <c r="D12" s="105"/>
      <c r="E12" s="106">
        <f t="shared" ref="E12:E13" si="12">IF(D12&gt;C12,D12-C12,C12-D12)</f>
        <v>0</v>
      </c>
      <c r="F12" s="105"/>
      <c r="G12" s="105"/>
      <c r="H12" s="107">
        <f t="shared" ref="H12:H13" si="13">IF(G12&gt;F12,G12-F12,F12-G12)</f>
        <v>0</v>
      </c>
      <c r="I12" s="105"/>
      <c r="J12" s="105"/>
      <c r="K12" s="107">
        <f t="shared" ref="K12:K13" si="14">IF(J12&gt;I12,J12-I12,I12-J12)</f>
        <v>0</v>
      </c>
      <c r="L12" s="114">
        <f t="shared" ref="L12:L13" si="15">E12+H12+K12</f>
        <v>0</v>
      </c>
      <c r="M12" s="115" t="s">
        <v>25</v>
      </c>
    </row>
    <row r="13" spans="1:13">
      <c r="A13" s="93" t="s">
        <v>114</v>
      </c>
      <c r="B13" s="103" t="s">
        <v>115</v>
      </c>
      <c r="C13" s="100"/>
      <c r="D13" s="100"/>
      <c r="E13" s="101">
        <f t="shared" si="12"/>
        <v>0</v>
      </c>
      <c r="F13" s="99">
        <v>0.58333333333333304</v>
      </c>
      <c r="G13" s="100">
        <v>0.75</v>
      </c>
      <c r="H13" s="102">
        <f t="shared" si="13"/>
        <v>0.16666666666666699</v>
      </c>
      <c r="I13" s="99">
        <v>0.75</v>
      </c>
      <c r="J13" s="99">
        <v>0.91666666666666696</v>
      </c>
      <c r="K13" s="102">
        <f t="shared" si="14"/>
        <v>0.16666666666666699</v>
      </c>
      <c r="L13" s="113">
        <f t="shared" si="15"/>
        <v>0.33333333333333298</v>
      </c>
    </row>
    <row r="14" spans="1:13">
      <c r="A14" s="93" t="s">
        <v>116</v>
      </c>
      <c r="B14" s="98" t="s">
        <v>117</v>
      </c>
      <c r="C14" s="105"/>
      <c r="D14" s="105"/>
      <c r="E14" s="106">
        <f t="shared" ref="E14" si="16">IF(D14&gt;C14,D14-C14,C14-D14)</f>
        <v>0</v>
      </c>
      <c r="F14" s="105"/>
      <c r="G14" s="105"/>
      <c r="H14" s="107">
        <f t="shared" ref="H14" si="17">IF(G14&gt;F14,G14-F14,F14-G14)</f>
        <v>0</v>
      </c>
      <c r="I14" s="105"/>
      <c r="J14" s="105"/>
      <c r="K14" s="107">
        <f t="shared" ref="K14" si="18">IF(J14&gt;I14,J14-I14,I14-J14)</f>
        <v>0</v>
      </c>
      <c r="L14" s="114">
        <f t="shared" ref="L14" si="19">E14+H14+K14</f>
        <v>0</v>
      </c>
      <c r="M14" s="115" t="s">
        <v>25</v>
      </c>
    </row>
    <row r="15" spans="1:13">
      <c r="A15" s="93" t="s">
        <v>26</v>
      </c>
      <c r="B15" s="103" t="s">
        <v>27</v>
      </c>
      <c r="C15" s="99">
        <v>0.25</v>
      </c>
      <c r="D15" s="100">
        <v>0.5</v>
      </c>
      <c r="E15" s="101">
        <f t="shared" ref="E15" si="20">IF(D15&gt;C15,D15-C15,C15-D15)</f>
        <v>0.25</v>
      </c>
      <c r="F15" s="100">
        <v>0.5</v>
      </c>
      <c r="G15" s="99">
        <v>0.58333333333333304</v>
      </c>
      <c r="H15" s="102">
        <f t="shared" ref="H15" si="21">IF(G15&gt;F15,G15-F15,F15-G15)</f>
        <v>8.3333333333333398E-2</v>
      </c>
      <c r="I15" s="100"/>
      <c r="J15" s="100"/>
      <c r="K15" s="102">
        <f t="shared" ref="K15" si="22">IF(J15&gt;I15,J15-I15,I15-J15)</f>
        <v>0</v>
      </c>
      <c r="L15" s="113">
        <f t="shared" ref="L15" si="23">E15+H15+K15</f>
        <v>0.33333333333333298</v>
      </c>
    </row>
    <row r="16" spans="1:13">
      <c r="A16" s="93" t="s">
        <v>118</v>
      </c>
      <c r="B16" s="104" t="s">
        <v>119</v>
      </c>
      <c r="C16" s="99">
        <v>0.41666666666666702</v>
      </c>
      <c r="D16" s="100">
        <v>0.58333333333333304</v>
      </c>
      <c r="E16" s="101">
        <f t="shared" ref="E16:E17" si="24">IF(D16&gt;C16,D16-C16,C16-D16)</f>
        <v>0.16666666666666699</v>
      </c>
      <c r="F16" s="100"/>
      <c r="G16" s="99"/>
      <c r="H16" s="102">
        <f t="shared" ref="H16:H17" si="25">IF(G16&gt;F16,G16-F16,F16-G16)</f>
        <v>0</v>
      </c>
      <c r="I16" s="99">
        <v>0.75</v>
      </c>
      <c r="J16" s="99">
        <v>0.91666666666666696</v>
      </c>
      <c r="K16" s="102">
        <f t="shared" ref="K16:K17" si="26">IF(J16&gt;I16,J16-I16,I16-J16)</f>
        <v>0.16666666666666699</v>
      </c>
      <c r="L16" s="113">
        <f t="shared" ref="L16:L17" si="27">E16+H16+K16</f>
        <v>0.33333333333333298</v>
      </c>
    </row>
    <row r="17" spans="1:13">
      <c r="A17" s="93" t="s">
        <v>120</v>
      </c>
      <c r="B17" s="98" t="s">
        <v>121</v>
      </c>
      <c r="C17" s="99">
        <v>0.25</v>
      </c>
      <c r="D17" s="100">
        <v>0.5</v>
      </c>
      <c r="E17" s="101">
        <f t="shared" si="24"/>
        <v>0.25</v>
      </c>
      <c r="F17" s="100">
        <v>0.5</v>
      </c>
      <c r="G17" s="99">
        <v>0.58333333333333304</v>
      </c>
      <c r="H17" s="102">
        <f t="shared" si="25"/>
        <v>8.3333333333333398E-2</v>
      </c>
      <c r="I17" s="100"/>
      <c r="J17" s="100"/>
      <c r="K17" s="102">
        <f t="shared" si="26"/>
        <v>0</v>
      </c>
      <c r="L17" s="113">
        <f t="shared" si="27"/>
        <v>0.33333333333333298</v>
      </c>
    </row>
    <row r="18" spans="1:13">
      <c r="A18" s="93" t="s">
        <v>122</v>
      </c>
      <c r="B18" s="104" t="s">
        <v>123</v>
      </c>
      <c r="C18" s="99">
        <v>0.41666666666666702</v>
      </c>
      <c r="D18" s="100">
        <v>0.58333333333333304</v>
      </c>
      <c r="E18" s="101">
        <f t="shared" ref="E18:E19" si="28">IF(D18&gt;C18,D18-C18,C18-D18)</f>
        <v>0.16666666666666699</v>
      </c>
      <c r="F18" s="100"/>
      <c r="G18" s="99"/>
      <c r="H18" s="102">
        <f t="shared" ref="H18:H19" si="29">IF(G18&gt;F18,G18-F18,F18-G18)</f>
        <v>0</v>
      </c>
      <c r="I18" s="99">
        <v>0.75</v>
      </c>
      <c r="J18" s="99">
        <v>0.91666666666666696</v>
      </c>
      <c r="K18" s="102">
        <f t="shared" ref="K18:K19" si="30">IF(J18&gt;I18,J18-I18,I18-J18)</f>
        <v>0.16666666666666699</v>
      </c>
      <c r="L18" s="113">
        <f t="shared" ref="L18:L19" si="31">E18+H18+K18</f>
        <v>0.33333333333333298</v>
      </c>
    </row>
    <row r="19" spans="1:13">
      <c r="A19" s="93" t="s">
        <v>30</v>
      </c>
      <c r="B19" s="104" t="s">
        <v>124</v>
      </c>
      <c r="C19" s="99">
        <v>0.41666666666666702</v>
      </c>
      <c r="D19" s="100">
        <v>0.58333333333333304</v>
      </c>
      <c r="E19" s="101">
        <f t="shared" si="28"/>
        <v>0.16666666666666699</v>
      </c>
      <c r="F19" s="100"/>
      <c r="G19" s="99"/>
      <c r="H19" s="102">
        <f t="shared" si="29"/>
        <v>0</v>
      </c>
      <c r="I19" s="99">
        <v>0.75</v>
      </c>
      <c r="J19" s="99">
        <v>0.91666666666666696</v>
      </c>
      <c r="K19" s="102">
        <f t="shared" si="30"/>
        <v>0.16666666666666699</v>
      </c>
      <c r="L19" s="113">
        <f t="shared" si="31"/>
        <v>0.33333333333333298</v>
      </c>
    </row>
    <row r="20" spans="1:13">
      <c r="A20" s="93" t="s">
        <v>30</v>
      </c>
      <c r="B20" s="104" t="s">
        <v>125</v>
      </c>
      <c r="C20" s="105"/>
      <c r="D20" s="105"/>
      <c r="E20" s="106">
        <f t="shared" ref="E20" si="32">IF(D20&gt;C20,D20-C20,C20-D20)</f>
        <v>0</v>
      </c>
      <c r="F20" s="105"/>
      <c r="G20" s="105"/>
      <c r="H20" s="107">
        <f t="shared" ref="H20" si="33">IF(G20&gt;F20,G20-F20,F20-G20)</f>
        <v>0</v>
      </c>
      <c r="I20" s="105"/>
      <c r="J20" s="105"/>
      <c r="K20" s="107">
        <f t="shared" ref="K20" si="34">IF(J20&gt;I20,J20-I20,I20-J20)</f>
        <v>0</v>
      </c>
      <c r="L20" s="114">
        <f t="shared" ref="L20" si="35">E20+H20+K20</f>
        <v>0</v>
      </c>
      <c r="M20" s="115" t="s">
        <v>25</v>
      </c>
    </row>
    <row r="21" spans="1:13" s="90" customFormat="1">
      <c r="A21" s="108"/>
      <c r="B21" s="98"/>
      <c r="C21" s="109"/>
      <c r="D21" s="109"/>
      <c r="E21" s="110">
        <f>SUM(E8:E20)</f>
        <v>1.4166666666666701</v>
      </c>
      <c r="F21" s="111"/>
      <c r="G21" s="111"/>
      <c r="H21" s="110">
        <f>SUM(H8:H20)</f>
        <v>0.58333333333333304</v>
      </c>
      <c r="I21" s="109"/>
      <c r="J21" s="109"/>
      <c r="K21" s="110">
        <f>SUM(K8:K20)</f>
        <v>1</v>
      </c>
      <c r="L21" s="110">
        <f>SUM(L8:L20)</f>
        <v>3</v>
      </c>
      <c r="M21" s="108"/>
    </row>
    <row r="22" spans="1:13" s="91" customFormat="1">
      <c r="A22" s="92"/>
      <c r="B22" s="93"/>
      <c r="C22" s="93"/>
      <c r="D22" s="93"/>
      <c r="E22" s="92"/>
      <c r="F22" s="92"/>
      <c r="G22" s="92"/>
      <c r="H22" s="92"/>
      <c r="I22" s="93"/>
      <c r="J22" s="93"/>
      <c r="K22" s="92"/>
      <c r="L22" s="92"/>
      <c r="M22" s="92"/>
    </row>
    <row r="23" spans="1:13">
      <c r="C23" s="94" t="str">
        <f>+C5</f>
        <v>CUISINE RESTO</v>
      </c>
      <c r="G23" s="5" t="s">
        <v>32</v>
      </c>
      <c r="H23" s="6">
        <f>+H5+1</f>
        <v>46245</v>
      </c>
    </row>
    <row r="24" spans="1:13">
      <c r="C24" s="172" t="s">
        <v>3</v>
      </c>
      <c r="D24" s="172"/>
      <c r="E24" s="172"/>
      <c r="F24" s="173" t="s">
        <v>4</v>
      </c>
      <c r="G24" s="173"/>
      <c r="H24" s="173"/>
      <c r="I24" s="174" t="s">
        <v>5</v>
      </c>
      <c r="J24" s="174"/>
      <c r="K24" s="174"/>
    </row>
    <row r="25" spans="1:13">
      <c r="B25" s="95" t="s">
        <v>6</v>
      </c>
      <c r="C25" s="96" t="s">
        <v>7</v>
      </c>
      <c r="D25" s="96" t="s">
        <v>8</v>
      </c>
      <c r="E25" s="96" t="s">
        <v>9</v>
      </c>
      <c r="F25" s="97" t="s">
        <v>7</v>
      </c>
      <c r="G25" s="97" t="s">
        <v>8</v>
      </c>
      <c r="H25" s="97" t="s">
        <v>9</v>
      </c>
      <c r="I25" s="112" t="s">
        <v>7</v>
      </c>
      <c r="J25" s="112" t="s">
        <v>8</v>
      </c>
      <c r="K25" s="112" t="s">
        <v>9</v>
      </c>
      <c r="L25" s="95" t="s">
        <v>10</v>
      </c>
    </row>
    <row r="26" spans="1:13">
      <c r="A26" s="93" t="s">
        <v>105</v>
      </c>
      <c r="B26" s="98" t="s">
        <v>106</v>
      </c>
      <c r="C26" s="105"/>
      <c r="D26" s="105"/>
      <c r="E26" s="106">
        <f t="shared" ref="E26" si="36">IF(D26&gt;C26,D26-C26,C26-D26)</f>
        <v>0</v>
      </c>
      <c r="F26" s="105"/>
      <c r="G26" s="105"/>
      <c r="H26" s="107">
        <f t="shared" ref="H26" si="37">IF(G26&gt;F26,G26-F26,F26-G26)</f>
        <v>0</v>
      </c>
      <c r="I26" s="105"/>
      <c r="J26" s="105"/>
      <c r="K26" s="107">
        <f t="shared" ref="K26" si="38">IF(J26&gt;I26,J26-I26,I26-J26)</f>
        <v>0</v>
      </c>
      <c r="L26" s="114">
        <f t="shared" ref="L26" si="39">E26+H26+K26</f>
        <v>0</v>
      </c>
      <c r="M26" s="115" t="s">
        <v>25</v>
      </c>
    </row>
    <row r="27" spans="1:13">
      <c r="A27" s="93" t="s">
        <v>107</v>
      </c>
      <c r="B27" s="98" t="s">
        <v>108</v>
      </c>
      <c r="C27" s="105"/>
      <c r="D27" s="105"/>
      <c r="E27" s="106">
        <f t="shared" ref="E27:E28" si="40">IF(D27&gt;C27,D27-C27,C27-D27)</f>
        <v>0</v>
      </c>
      <c r="F27" s="105"/>
      <c r="G27" s="105"/>
      <c r="H27" s="107">
        <f t="shared" ref="H27:H28" si="41">IF(G27&gt;F27,G27-F27,F27-G27)</f>
        <v>0</v>
      </c>
      <c r="I27" s="105"/>
      <c r="J27" s="105"/>
      <c r="K27" s="107">
        <f t="shared" ref="K27:K28" si="42">IF(J27&gt;I27,J27-I27,I27-J27)</f>
        <v>0</v>
      </c>
      <c r="L27" s="114">
        <f t="shared" ref="L27:L28" si="43">E27+H27+K27</f>
        <v>0</v>
      </c>
      <c r="M27" s="115" t="s">
        <v>25</v>
      </c>
    </row>
    <row r="28" spans="1:13">
      <c r="A28" s="93" t="s">
        <v>109</v>
      </c>
      <c r="B28" s="104" t="s">
        <v>70</v>
      </c>
      <c r="C28" s="100"/>
      <c r="D28" s="100"/>
      <c r="E28" s="101">
        <f t="shared" si="40"/>
        <v>0</v>
      </c>
      <c r="F28" s="99">
        <v>0.58333333333333304</v>
      </c>
      <c r="G28" s="100">
        <v>0.75</v>
      </c>
      <c r="H28" s="102">
        <f t="shared" si="41"/>
        <v>0.16666666666666699</v>
      </c>
      <c r="I28" s="99">
        <v>0.75</v>
      </c>
      <c r="J28" s="99">
        <v>0.91666666666666696</v>
      </c>
      <c r="K28" s="102">
        <f t="shared" si="42"/>
        <v>0.16666666666666699</v>
      </c>
      <c r="L28" s="113">
        <f t="shared" si="43"/>
        <v>0.33333333333333298</v>
      </c>
    </row>
    <row r="29" spans="1:13">
      <c r="A29" s="93" t="s">
        <v>110</v>
      </c>
      <c r="B29" s="103" t="s">
        <v>111</v>
      </c>
      <c r="C29" s="99">
        <v>0.25</v>
      </c>
      <c r="D29" s="100">
        <v>0.5</v>
      </c>
      <c r="E29" s="101">
        <f t="shared" ref="E29:E36" si="44">IF(D29&gt;C29,D29-C29,C29-D29)</f>
        <v>0.25</v>
      </c>
      <c r="F29" s="100">
        <v>0.5</v>
      </c>
      <c r="G29" s="99">
        <v>0.58333333333333304</v>
      </c>
      <c r="H29" s="102">
        <f t="shared" ref="H29:H36" si="45">IF(G29&gt;F29,G29-F29,F29-G29)</f>
        <v>8.3333333333333398E-2</v>
      </c>
      <c r="I29" s="100"/>
      <c r="J29" s="100"/>
      <c r="K29" s="102">
        <f t="shared" ref="K29:K36" si="46">IF(J29&gt;I29,J29-I29,I29-J29)</f>
        <v>0</v>
      </c>
      <c r="L29" s="113">
        <f t="shared" ref="L29:L36" si="47">E29+H29+K29</f>
        <v>0.33333333333333298</v>
      </c>
    </row>
    <row r="30" spans="1:13">
      <c r="A30" s="93" t="s">
        <v>112</v>
      </c>
      <c r="B30" s="103" t="s">
        <v>113</v>
      </c>
      <c r="C30" s="99">
        <v>0.25</v>
      </c>
      <c r="D30" s="100">
        <v>0.5</v>
      </c>
      <c r="E30" s="101">
        <f t="shared" si="44"/>
        <v>0.25</v>
      </c>
      <c r="F30" s="100">
        <v>0.5</v>
      </c>
      <c r="G30" s="99">
        <v>0.58333333333333304</v>
      </c>
      <c r="H30" s="102">
        <f t="shared" si="45"/>
        <v>8.3333333333333398E-2</v>
      </c>
      <c r="I30" s="100"/>
      <c r="J30" s="100"/>
      <c r="K30" s="102">
        <f t="shared" si="46"/>
        <v>0</v>
      </c>
      <c r="L30" s="113">
        <f t="shared" si="47"/>
        <v>0.33333333333333298</v>
      </c>
    </row>
    <row r="31" spans="1:13">
      <c r="A31" s="93" t="s">
        <v>114</v>
      </c>
      <c r="B31" s="103" t="s">
        <v>115</v>
      </c>
      <c r="C31" s="99">
        <v>0.41666666666666702</v>
      </c>
      <c r="D31" s="100">
        <v>0.58333333333333304</v>
      </c>
      <c r="E31" s="101">
        <f t="shared" si="44"/>
        <v>0.16666666666666699</v>
      </c>
      <c r="F31" s="100"/>
      <c r="G31" s="99"/>
      <c r="H31" s="102">
        <f t="shared" si="45"/>
        <v>0</v>
      </c>
      <c r="I31" s="99">
        <v>0.75</v>
      </c>
      <c r="J31" s="99">
        <v>0.91666666666666696</v>
      </c>
      <c r="K31" s="102">
        <f t="shared" si="46"/>
        <v>0.16666666666666699</v>
      </c>
      <c r="L31" s="113">
        <f t="shared" si="47"/>
        <v>0.33333333333333298</v>
      </c>
    </row>
    <row r="32" spans="1:13">
      <c r="A32" s="93" t="s">
        <v>116</v>
      </c>
      <c r="B32" s="98" t="s">
        <v>117</v>
      </c>
      <c r="C32" s="99">
        <v>0.25</v>
      </c>
      <c r="D32" s="100">
        <v>0.5</v>
      </c>
      <c r="E32" s="101">
        <f t="shared" ref="E32" si="48">IF(D32&gt;C32,D32-C32,C32-D32)</f>
        <v>0.25</v>
      </c>
      <c r="F32" s="100">
        <v>0.5</v>
      </c>
      <c r="G32" s="99">
        <v>0.58333333333333304</v>
      </c>
      <c r="H32" s="102">
        <f t="shared" ref="H32" si="49">IF(G32&gt;F32,G32-F32,F32-G32)</f>
        <v>8.3333333333333398E-2</v>
      </c>
      <c r="I32" s="100"/>
      <c r="J32" s="100"/>
      <c r="K32" s="102">
        <f t="shared" ref="K32" si="50">IF(J32&gt;I32,J32-I32,I32-J32)</f>
        <v>0</v>
      </c>
      <c r="L32" s="113">
        <f t="shared" ref="L32" si="51">E32+H32+K32</f>
        <v>0.33333333333333298</v>
      </c>
    </row>
    <row r="33" spans="1:13" hidden="1">
      <c r="A33" s="93" t="s">
        <v>26</v>
      </c>
      <c r="B33" s="98" t="s">
        <v>27</v>
      </c>
      <c r="C33" s="99">
        <v>0.25</v>
      </c>
      <c r="D33" s="100">
        <v>0.5</v>
      </c>
      <c r="E33" s="101">
        <f t="shared" si="44"/>
        <v>0.25</v>
      </c>
      <c r="F33" s="100">
        <v>0.5</v>
      </c>
      <c r="G33" s="99">
        <v>0.58333333333333304</v>
      </c>
      <c r="H33" s="102">
        <f t="shared" si="45"/>
        <v>8.3333333333333398E-2</v>
      </c>
      <c r="I33" s="100"/>
      <c r="J33" s="100"/>
      <c r="K33" s="102">
        <f t="shared" si="46"/>
        <v>0</v>
      </c>
      <c r="L33" s="113">
        <f t="shared" si="47"/>
        <v>0.33333333333333298</v>
      </c>
    </row>
    <row r="34" spans="1:13">
      <c r="A34" s="93" t="s">
        <v>118</v>
      </c>
      <c r="B34" s="104" t="s">
        <v>119</v>
      </c>
      <c r="C34" s="99">
        <v>0.41666666666666702</v>
      </c>
      <c r="D34" s="100">
        <v>0.58333333333333304</v>
      </c>
      <c r="E34" s="101">
        <f t="shared" si="44"/>
        <v>0.16666666666666699</v>
      </c>
      <c r="F34" s="100"/>
      <c r="G34" s="99"/>
      <c r="H34" s="102">
        <f t="shared" si="45"/>
        <v>0</v>
      </c>
      <c r="I34" s="99">
        <v>0.75</v>
      </c>
      <c r="J34" s="99">
        <v>0.91666666666666696</v>
      </c>
      <c r="K34" s="102">
        <f t="shared" si="46"/>
        <v>0.16666666666666699</v>
      </c>
      <c r="L34" s="113">
        <f t="shared" si="47"/>
        <v>0.33333333333333298</v>
      </c>
    </row>
    <row r="35" spans="1:13">
      <c r="A35" s="93" t="s">
        <v>120</v>
      </c>
      <c r="B35" s="98" t="s">
        <v>121</v>
      </c>
      <c r="C35" s="105"/>
      <c r="D35" s="105"/>
      <c r="E35" s="106">
        <f t="shared" si="44"/>
        <v>0</v>
      </c>
      <c r="F35" s="105"/>
      <c r="G35" s="105"/>
      <c r="H35" s="107">
        <f t="shared" si="45"/>
        <v>0</v>
      </c>
      <c r="I35" s="105"/>
      <c r="J35" s="105"/>
      <c r="K35" s="107">
        <f t="shared" si="46"/>
        <v>0</v>
      </c>
      <c r="L35" s="114">
        <f t="shared" si="47"/>
        <v>0</v>
      </c>
      <c r="M35" s="115" t="s">
        <v>25</v>
      </c>
    </row>
    <row r="36" spans="1:13">
      <c r="A36" s="93" t="s">
        <v>122</v>
      </c>
      <c r="B36" s="104" t="s">
        <v>123</v>
      </c>
      <c r="C36" s="100"/>
      <c r="D36" s="100"/>
      <c r="E36" s="101">
        <f t="shared" si="44"/>
        <v>0</v>
      </c>
      <c r="F36" s="99">
        <v>0.58333333333333304</v>
      </c>
      <c r="G36" s="100">
        <v>0.75</v>
      </c>
      <c r="H36" s="102">
        <f t="shared" si="45"/>
        <v>0.16666666666666699</v>
      </c>
      <c r="I36" s="99">
        <v>0.75</v>
      </c>
      <c r="J36" s="99">
        <v>0.91666666666666696</v>
      </c>
      <c r="K36" s="102">
        <f t="shared" si="46"/>
        <v>0.16666666666666699</v>
      </c>
      <c r="L36" s="113">
        <f t="shared" si="47"/>
        <v>0.33333333333333298</v>
      </c>
    </row>
    <row r="37" spans="1:13">
      <c r="A37" s="93" t="s">
        <v>30</v>
      </c>
      <c r="B37" s="92" t="s">
        <v>124</v>
      </c>
      <c r="C37" s="100"/>
      <c r="D37" s="100"/>
      <c r="E37" s="101">
        <f t="shared" ref="E37" si="52">IF(D37&gt;C37,D37-C37,C37-D37)</f>
        <v>0</v>
      </c>
      <c r="F37" s="99">
        <v>0.58333333333333304</v>
      </c>
      <c r="G37" s="100">
        <v>0.75</v>
      </c>
      <c r="H37" s="102">
        <f t="shared" ref="H37" si="53">IF(G37&gt;F37,G37-F37,F37-G37)</f>
        <v>0.16666666666666699</v>
      </c>
      <c r="I37" s="99">
        <v>0.75</v>
      </c>
      <c r="J37" s="99">
        <v>0.91666666666666696</v>
      </c>
      <c r="K37" s="102">
        <f t="shared" ref="K37" si="54">IF(J37&gt;I37,J37-I37,I37-J37)</f>
        <v>0.16666666666666699</v>
      </c>
      <c r="L37" s="113">
        <f t="shared" ref="L37" si="55">E37+H37+K37</f>
        <v>0.33333333333333298</v>
      </c>
    </row>
    <row r="38" spans="1:13">
      <c r="A38" s="93" t="s">
        <v>30</v>
      </c>
      <c r="B38" s="98" t="s">
        <v>125</v>
      </c>
      <c r="C38" s="99">
        <v>0.41666666666666702</v>
      </c>
      <c r="D38" s="100">
        <v>0.58333333333333304</v>
      </c>
      <c r="E38" s="101">
        <f t="shared" ref="E38" si="56">IF(D38&gt;C38,D38-C38,C38-D38)</f>
        <v>0.16666666666666699</v>
      </c>
      <c r="F38" s="100"/>
      <c r="G38" s="99"/>
      <c r="H38" s="102">
        <f t="shared" ref="H38" si="57">IF(G38&gt;F38,G38-F38,F38-G38)</f>
        <v>0</v>
      </c>
      <c r="I38" s="99">
        <v>0.75</v>
      </c>
      <c r="J38" s="99">
        <v>0.91666666666666696</v>
      </c>
      <c r="K38" s="102">
        <f t="shared" ref="K38" si="58">IF(J38&gt;I38,J38-I38,I38-J38)</f>
        <v>0.16666666666666699</v>
      </c>
      <c r="L38" s="113">
        <f t="shared" ref="L38" si="59">E38+H38+K38</f>
        <v>0.33333333333333298</v>
      </c>
    </row>
    <row r="39" spans="1:13" s="90" customFormat="1">
      <c r="A39" s="108"/>
      <c r="B39" s="98"/>
      <c r="C39" s="109"/>
      <c r="D39" s="109"/>
      <c r="E39" s="110">
        <f>SUM(E26:E38)</f>
        <v>1.5</v>
      </c>
      <c r="F39" s="111"/>
      <c r="G39" s="111"/>
      <c r="H39" s="110">
        <f>SUM(H26:H38)</f>
        <v>0.83333333333333304</v>
      </c>
      <c r="I39" s="109"/>
      <c r="J39" s="109"/>
      <c r="K39" s="110">
        <f>SUM(K26:K38)</f>
        <v>1</v>
      </c>
      <c r="L39" s="110">
        <f>SUM(L26:L38)</f>
        <v>3.3333333333333299</v>
      </c>
      <c r="M39" s="108"/>
    </row>
    <row r="41" spans="1:13">
      <c r="C41" s="94" t="str">
        <f>+C23</f>
        <v>CUISINE RESTO</v>
      </c>
      <c r="G41" s="5" t="s">
        <v>34</v>
      </c>
      <c r="H41" s="6">
        <f>+H23+1</f>
        <v>46246</v>
      </c>
    </row>
    <row r="42" spans="1:13">
      <c r="C42" s="172" t="s">
        <v>3</v>
      </c>
      <c r="D42" s="172"/>
      <c r="E42" s="172"/>
      <c r="F42" s="173" t="s">
        <v>4</v>
      </c>
      <c r="G42" s="173"/>
      <c r="H42" s="173"/>
      <c r="I42" s="174" t="s">
        <v>5</v>
      </c>
      <c r="J42" s="174"/>
      <c r="K42" s="174"/>
    </row>
    <row r="43" spans="1:13">
      <c r="B43" s="95" t="s">
        <v>6</v>
      </c>
      <c r="C43" s="96" t="s">
        <v>7</v>
      </c>
      <c r="D43" s="96" t="s">
        <v>8</v>
      </c>
      <c r="E43" s="96" t="s">
        <v>9</v>
      </c>
      <c r="F43" s="97" t="s">
        <v>7</v>
      </c>
      <c r="G43" s="97" t="s">
        <v>8</v>
      </c>
      <c r="H43" s="97" t="s">
        <v>9</v>
      </c>
      <c r="I43" s="112" t="s">
        <v>7</v>
      </c>
      <c r="J43" s="112" t="s">
        <v>8</v>
      </c>
      <c r="K43" s="112" t="s">
        <v>9</v>
      </c>
      <c r="L43" s="95" t="s">
        <v>10</v>
      </c>
    </row>
    <row r="44" spans="1:13">
      <c r="A44" s="93" t="s">
        <v>105</v>
      </c>
      <c r="B44" s="98" t="s">
        <v>106</v>
      </c>
      <c r="C44" s="100"/>
      <c r="D44" s="100"/>
      <c r="E44" s="101">
        <f t="shared" ref="E44" si="60">IF(D44&gt;C44,D44-C44,C44-D44)</f>
        <v>0</v>
      </c>
      <c r="F44" s="99">
        <v>0.58333333333333304</v>
      </c>
      <c r="G44" s="100">
        <v>0.75</v>
      </c>
      <c r="H44" s="102">
        <f t="shared" ref="H44" si="61">IF(G44&gt;F44,G44-F44,F44-G44)</f>
        <v>0.16666666666666699</v>
      </c>
      <c r="I44" s="99">
        <v>0.75</v>
      </c>
      <c r="J44" s="99">
        <v>0.91666666666666696</v>
      </c>
      <c r="K44" s="102">
        <f t="shared" ref="K44" si="62">IF(J44&gt;I44,J44-I44,I44-J44)</f>
        <v>0.16666666666666699</v>
      </c>
      <c r="L44" s="113">
        <f t="shared" ref="L44" si="63">E44+H44+K44</f>
        <v>0.33333333333333298</v>
      </c>
    </row>
    <row r="45" spans="1:13">
      <c r="A45" s="93" t="s">
        <v>107</v>
      </c>
      <c r="B45" s="103" t="s">
        <v>108</v>
      </c>
      <c r="C45" s="99">
        <v>0.25</v>
      </c>
      <c r="D45" s="100">
        <v>0.5</v>
      </c>
      <c r="E45" s="101">
        <f t="shared" ref="E45:E46" si="64">IF(D45&gt;C45,D45-C45,C45-D45)</f>
        <v>0.25</v>
      </c>
      <c r="F45" s="100">
        <v>0.5</v>
      </c>
      <c r="G45" s="99">
        <v>0.58333333333333304</v>
      </c>
      <c r="H45" s="102">
        <f t="shared" ref="H45:H46" si="65">IF(G45&gt;F45,G45-F45,F45-G45)</f>
        <v>8.3333333333333398E-2</v>
      </c>
      <c r="I45" s="100"/>
      <c r="J45" s="100"/>
      <c r="K45" s="102">
        <f t="shared" ref="K45:K46" si="66">IF(J45&gt;I45,J45-I45,I45-J45)</f>
        <v>0</v>
      </c>
      <c r="L45" s="113">
        <f t="shared" ref="L45:L46" si="67">E45+H45+K45</f>
        <v>0.33333333333333298</v>
      </c>
    </row>
    <row r="46" spans="1:13">
      <c r="A46" s="93" t="s">
        <v>109</v>
      </c>
      <c r="B46" s="104" t="s">
        <v>70</v>
      </c>
      <c r="C46" s="105"/>
      <c r="D46" s="105"/>
      <c r="E46" s="106">
        <f t="shared" si="64"/>
        <v>0</v>
      </c>
      <c r="F46" s="105"/>
      <c r="G46" s="105"/>
      <c r="H46" s="107">
        <f t="shared" si="65"/>
        <v>0</v>
      </c>
      <c r="I46" s="105"/>
      <c r="J46" s="105"/>
      <c r="K46" s="107">
        <f t="shared" si="66"/>
        <v>0</v>
      </c>
      <c r="L46" s="114">
        <f t="shared" si="67"/>
        <v>0</v>
      </c>
      <c r="M46" s="115" t="s">
        <v>25</v>
      </c>
    </row>
    <row r="47" spans="1:13">
      <c r="A47" s="93" t="s">
        <v>110</v>
      </c>
      <c r="B47" s="103" t="s">
        <v>111</v>
      </c>
      <c r="C47" s="99">
        <v>0.25</v>
      </c>
      <c r="D47" s="100">
        <v>0.5</v>
      </c>
      <c r="E47" s="101">
        <f t="shared" ref="E47:E50" si="68">IF(D47&gt;C47,D47-C47,C47-D47)</f>
        <v>0.25</v>
      </c>
      <c r="F47" s="100">
        <v>0.5</v>
      </c>
      <c r="G47" s="99">
        <v>0.58333333333333304</v>
      </c>
      <c r="H47" s="102">
        <f t="shared" ref="H47:H50" si="69">IF(G47&gt;F47,G47-F47,F47-G47)</f>
        <v>8.3333333333333398E-2</v>
      </c>
      <c r="I47" s="100"/>
      <c r="J47" s="100"/>
      <c r="K47" s="102">
        <f t="shared" ref="K47:K50" si="70">IF(J47&gt;I47,J47-I47,I47-J47)</f>
        <v>0</v>
      </c>
      <c r="L47" s="113">
        <f t="shared" ref="L47:L50" si="71">E47+H47+K47</f>
        <v>0.33333333333333298</v>
      </c>
    </row>
    <row r="48" spans="1:13">
      <c r="A48" s="93" t="s">
        <v>112</v>
      </c>
      <c r="B48" s="98" t="s">
        <v>113</v>
      </c>
      <c r="C48" s="100"/>
      <c r="D48" s="100"/>
      <c r="E48" s="101">
        <f t="shared" si="68"/>
        <v>0</v>
      </c>
      <c r="F48" s="99">
        <v>0.58333333333333304</v>
      </c>
      <c r="G48" s="100">
        <v>0.75</v>
      </c>
      <c r="H48" s="102">
        <f t="shared" si="69"/>
        <v>0.16666666666666699</v>
      </c>
      <c r="I48" s="99">
        <v>0.75</v>
      </c>
      <c r="J48" s="99">
        <v>0.91666666666666696</v>
      </c>
      <c r="K48" s="102">
        <f t="shared" si="70"/>
        <v>0.16666666666666699</v>
      </c>
      <c r="L48" s="113">
        <f t="shared" si="71"/>
        <v>0.33333333333333298</v>
      </c>
    </row>
    <row r="49" spans="1:13">
      <c r="A49" s="93" t="s">
        <v>114</v>
      </c>
      <c r="B49" s="98" t="s">
        <v>115</v>
      </c>
      <c r="C49" s="100"/>
      <c r="D49" s="100"/>
      <c r="E49" s="101">
        <f t="shared" ref="E49" si="72">IF(D49&gt;C49,D49-C49,C49-D49)</f>
        <v>0</v>
      </c>
      <c r="F49" s="99">
        <v>0.58333333333333304</v>
      </c>
      <c r="G49" s="100">
        <v>0.75</v>
      </c>
      <c r="H49" s="102">
        <f t="shared" ref="H49" si="73">IF(G49&gt;F49,G49-F49,F49-G49)</f>
        <v>0.16666666666666699</v>
      </c>
      <c r="I49" s="99">
        <v>0.75</v>
      </c>
      <c r="J49" s="99">
        <v>0.91666666666666696</v>
      </c>
      <c r="K49" s="102">
        <f t="shared" ref="K49" si="74">IF(J49&gt;I49,J49-I49,I49-J49)</f>
        <v>0.16666666666666699</v>
      </c>
      <c r="L49" s="113">
        <f t="shared" ref="L49" si="75">E49+H49+K49</f>
        <v>0.33333333333333298</v>
      </c>
    </row>
    <row r="50" spans="1:13">
      <c r="A50" s="93" t="s">
        <v>116</v>
      </c>
      <c r="B50" s="98" t="s">
        <v>117</v>
      </c>
      <c r="C50" s="99">
        <v>0.41666666666666702</v>
      </c>
      <c r="D50" s="100">
        <v>0.58333333333333304</v>
      </c>
      <c r="E50" s="101">
        <f t="shared" si="68"/>
        <v>0.16666666666666699</v>
      </c>
      <c r="F50" s="100"/>
      <c r="G50" s="99"/>
      <c r="H50" s="102">
        <f t="shared" si="69"/>
        <v>0</v>
      </c>
      <c r="I50" s="99">
        <v>0.75</v>
      </c>
      <c r="J50" s="99">
        <v>0.91666666666666696</v>
      </c>
      <c r="K50" s="102">
        <f t="shared" si="70"/>
        <v>0.16666666666666699</v>
      </c>
      <c r="L50" s="113">
        <f t="shared" si="71"/>
        <v>0.33333333333333298</v>
      </c>
    </row>
    <row r="51" spans="1:13" hidden="1">
      <c r="A51" s="93" t="s">
        <v>26</v>
      </c>
      <c r="B51" s="98" t="s">
        <v>27</v>
      </c>
      <c r="C51" s="99">
        <v>0.25</v>
      </c>
      <c r="D51" s="100">
        <v>0.5</v>
      </c>
      <c r="E51" s="101">
        <f t="shared" ref="E51:E55" si="76">IF(D51&gt;C51,D51-C51,C51-D51)</f>
        <v>0.25</v>
      </c>
      <c r="F51" s="100">
        <v>0.5</v>
      </c>
      <c r="G51" s="99">
        <v>0.58333333333333304</v>
      </c>
      <c r="H51" s="102">
        <f t="shared" ref="H51:H55" si="77">IF(G51&gt;F51,G51-F51,F51-G51)</f>
        <v>8.3333333333333398E-2</v>
      </c>
      <c r="I51" s="100"/>
      <c r="J51" s="100"/>
      <c r="K51" s="102">
        <f t="shared" ref="K51:K55" si="78">IF(J51&gt;I51,J51-I51,I51-J51)</f>
        <v>0</v>
      </c>
      <c r="L51" s="113">
        <f t="shared" ref="L51:L55" si="79">E51+H51+K51</f>
        <v>0.33333333333333298</v>
      </c>
    </row>
    <row r="52" spans="1:13">
      <c r="A52" s="93" t="s">
        <v>118</v>
      </c>
      <c r="B52" s="104" t="s">
        <v>119</v>
      </c>
      <c r="C52" s="99">
        <v>0.41666666666666702</v>
      </c>
      <c r="D52" s="100">
        <v>0.58333333333333304</v>
      </c>
      <c r="E52" s="101">
        <f t="shared" si="76"/>
        <v>0.16666666666666699</v>
      </c>
      <c r="F52" s="100"/>
      <c r="G52" s="99"/>
      <c r="H52" s="102">
        <f t="shared" si="77"/>
        <v>0</v>
      </c>
      <c r="I52" s="99">
        <v>0.75</v>
      </c>
      <c r="J52" s="99">
        <v>0.91666666666666696</v>
      </c>
      <c r="K52" s="102">
        <f t="shared" si="78"/>
        <v>0.16666666666666699</v>
      </c>
      <c r="L52" s="113">
        <f t="shared" si="79"/>
        <v>0.33333333333333298</v>
      </c>
    </row>
    <row r="53" spans="1:13">
      <c r="A53" s="93" t="s">
        <v>120</v>
      </c>
      <c r="B53" s="103" t="s">
        <v>121</v>
      </c>
      <c r="C53" s="99">
        <v>0.25</v>
      </c>
      <c r="D53" s="100">
        <v>0.5</v>
      </c>
      <c r="E53" s="101">
        <f t="shared" si="76"/>
        <v>0.25</v>
      </c>
      <c r="F53" s="100">
        <v>0.5</v>
      </c>
      <c r="G53" s="99">
        <v>0.58333333333333304</v>
      </c>
      <c r="H53" s="102">
        <f t="shared" si="77"/>
        <v>8.3333333333333398E-2</v>
      </c>
      <c r="I53" s="100"/>
      <c r="J53" s="100"/>
      <c r="K53" s="102">
        <f t="shared" si="78"/>
        <v>0</v>
      </c>
      <c r="L53" s="113">
        <f t="shared" si="79"/>
        <v>0.33333333333333298</v>
      </c>
    </row>
    <row r="54" spans="1:13">
      <c r="A54" s="93" t="s">
        <v>122</v>
      </c>
      <c r="B54" s="98" t="s">
        <v>123</v>
      </c>
      <c r="C54" s="100"/>
      <c r="D54" s="100"/>
      <c r="E54" s="101">
        <f t="shared" si="76"/>
        <v>0</v>
      </c>
      <c r="F54" s="99">
        <v>0.58333333333333304</v>
      </c>
      <c r="G54" s="100">
        <v>0.75</v>
      </c>
      <c r="H54" s="102">
        <f t="shared" si="77"/>
        <v>0.16666666666666699</v>
      </c>
      <c r="I54" s="99">
        <v>0.75</v>
      </c>
      <c r="J54" s="99">
        <v>0.91666666666666696</v>
      </c>
      <c r="K54" s="102">
        <f t="shared" si="78"/>
        <v>0.16666666666666699</v>
      </c>
      <c r="L54" s="113">
        <f t="shared" si="79"/>
        <v>0.33333333333333298</v>
      </c>
    </row>
    <row r="55" spans="1:13">
      <c r="A55" s="93" t="s">
        <v>30</v>
      </c>
      <c r="B55" s="104" t="s">
        <v>124</v>
      </c>
      <c r="C55" s="100"/>
      <c r="D55" s="100"/>
      <c r="E55" s="101">
        <f t="shared" si="76"/>
        <v>0</v>
      </c>
      <c r="F55" s="99">
        <v>0.58333333333333304</v>
      </c>
      <c r="G55" s="100">
        <v>0.75</v>
      </c>
      <c r="H55" s="102">
        <f t="shared" si="77"/>
        <v>0.16666666666666699</v>
      </c>
      <c r="I55" s="99">
        <v>0.75</v>
      </c>
      <c r="J55" s="99">
        <v>0.91666666666666696</v>
      </c>
      <c r="K55" s="102">
        <f t="shared" si="78"/>
        <v>0.16666666666666699</v>
      </c>
      <c r="L55" s="113">
        <f t="shared" si="79"/>
        <v>0.33333333333333298</v>
      </c>
    </row>
    <row r="56" spans="1:13">
      <c r="A56" s="93" t="s">
        <v>30</v>
      </c>
      <c r="B56" s="98" t="s">
        <v>125</v>
      </c>
      <c r="C56" s="99">
        <v>0.41666666666666702</v>
      </c>
      <c r="D56" s="100">
        <v>0.58333333333333304</v>
      </c>
      <c r="E56" s="101">
        <f t="shared" ref="E56" si="80">IF(D56&gt;C56,D56-C56,C56-D56)</f>
        <v>0.16666666666666699</v>
      </c>
      <c r="F56" s="100"/>
      <c r="G56" s="99"/>
      <c r="H56" s="102">
        <f t="shared" ref="H56" si="81">IF(G56&gt;F56,G56-F56,F56-G56)</f>
        <v>0</v>
      </c>
      <c r="I56" s="99">
        <v>0.75</v>
      </c>
      <c r="J56" s="99">
        <v>0.91666666666666696</v>
      </c>
      <c r="K56" s="102">
        <f t="shared" ref="K56" si="82">IF(J56&gt;I56,J56-I56,I56-J56)</f>
        <v>0.16666666666666699</v>
      </c>
      <c r="L56" s="113">
        <f t="shared" ref="L56" si="83">E56+H56+K56</f>
        <v>0.33333333333333298</v>
      </c>
    </row>
    <row r="57" spans="1:13">
      <c r="A57" s="108"/>
      <c r="B57" s="98"/>
      <c r="C57" s="109"/>
      <c r="D57" s="109"/>
      <c r="E57" s="110">
        <f>SUM(E44:E56)</f>
        <v>1.5</v>
      </c>
      <c r="F57" s="111"/>
      <c r="G57" s="111"/>
      <c r="H57" s="110">
        <f>SUM(H44:H56)</f>
        <v>1.1666666666666701</v>
      </c>
      <c r="I57" s="109"/>
      <c r="J57" s="109"/>
      <c r="K57" s="110">
        <f>SUM(K44:K56)</f>
        <v>1.3333333333333299</v>
      </c>
      <c r="L57" s="110">
        <f>SUM(L44:L56)</f>
        <v>4</v>
      </c>
      <c r="M57" s="108"/>
    </row>
    <row r="59" spans="1:13">
      <c r="C59" s="94" t="str">
        <f>+C41</f>
        <v>CUISINE RESTO</v>
      </c>
      <c r="G59" s="5" t="s">
        <v>35</v>
      </c>
      <c r="H59" s="6">
        <f>+H41+1</f>
        <v>46247</v>
      </c>
    </row>
    <row r="60" spans="1:13">
      <c r="C60" s="172" t="s">
        <v>3</v>
      </c>
      <c r="D60" s="172"/>
      <c r="E60" s="172"/>
      <c r="F60" s="173" t="s">
        <v>4</v>
      </c>
      <c r="G60" s="173"/>
      <c r="H60" s="173"/>
      <c r="I60" s="174" t="s">
        <v>5</v>
      </c>
      <c r="J60" s="174"/>
      <c r="K60" s="174"/>
    </row>
    <row r="61" spans="1:13">
      <c r="B61" s="95" t="s">
        <v>6</v>
      </c>
      <c r="C61" s="96" t="s">
        <v>7</v>
      </c>
      <c r="D61" s="96" t="s">
        <v>8</v>
      </c>
      <c r="E61" s="96" t="s">
        <v>9</v>
      </c>
      <c r="F61" s="97" t="s">
        <v>7</v>
      </c>
      <c r="G61" s="97" t="s">
        <v>8</v>
      </c>
      <c r="H61" s="97" t="s">
        <v>9</v>
      </c>
      <c r="I61" s="112" t="s">
        <v>7</v>
      </c>
      <c r="J61" s="112" t="s">
        <v>8</v>
      </c>
      <c r="K61" s="112" t="s">
        <v>9</v>
      </c>
      <c r="L61" s="95" t="s">
        <v>10</v>
      </c>
    </row>
    <row r="62" spans="1:13">
      <c r="A62" s="93" t="s">
        <v>105</v>
      </c>
      <c r="B62" s="98" t="s">
        <v>106</v>
      </c>
      <c r="C62" s="100"/>
      <c r="D62" s="100"/>
      <c r="E62" s="101">
        <f t="shared" ref="E62" si="84">IF(D62&gt;C62,D62-C62,C62-D62)</f>
        <v>0</v>
      </c>
      <c r="F62" s="99">
        <v>0.58333333333333304</v>
      </c>
      <c r="G62" s="100">
        <v>0.75</v>
      </c>
      <c r="H62" s="102">
        <f t="shared" ref="H62" si="85">IF(G62&gt;F62,G62-F62,F62-G62)</f>
        <v>0.16666666666666699</v>
      </c>
      <c r="I62" s="99">
        <v>0.75</v>
      </c>
      <c r="J62" s="99">
        <v>0.91666666666666696</v>
      </c>
      <c r="K62" s="102">
        <f t="shared" ref="K62" si="86">IF(J62&gt;I62,J62-I62,I62-J62)</f>
        <v>0.16666666666666699</v>
      </c>
      <c r="L62" s="113">
        <f t="shared" ref="L62" si="87">E62+H62+K62</f>
        <v>0.33333333333333298</v>
      </c>
    </row>
    <row r="63" spans="1:13">
      <c r="A63" s="93" t="s">
        <v>107</v>
      </c>
      <c r="B63" s="103" t="s">
        <v>108</v>
      </c>
      <c r="C63" s="99">
        <v>0.25</v>
      </c>
      <c r="D63" s="100">
        <v>0.5</v>
      </c>
      <c r="E63" s="101">
        <f t="shared" ref="E63:E64" si="88">IF(D63&gt;C63,D63-C63,C63-D63)</f>
        <v>0.25</v>
      </c>
      <c r="F63" s="100">
        <v>0.5</v>
      </c>
      <c r="G63" s="99">
        <v>0.58333333333333304</v>
      </c>
      <c r="H63" s="102">
        <f t="shared" ref="H63:H64" si="89">IF(G63&gt;F63,G63-F63,F63-G63)</f>
        <v>8.3333333333333398E-2</v>
      </c>
      <c r="I63" s="100"/>
      <c r="J63" s="100"/>
      <c r="K63" s="102">
        <f t="shared" ref="K63:K64" si="90">IF(J63&gt;I63,J63-I63,I63-J63)</f>
        <v>0</v>
      </c>
      <c r="L63" s="113">
        <f t="shared" ref="L63:L64" si="91">E63+H63+K63</f>
        <v>0.33333333333333298</v>
      </c>
    </row>
    <row r="64" spans="1:13">
      <c r="A64" s="93" t="s">
        <v>109</v>
      </c>
      <c r="B64" s="98" t="s">
        <v>70</v>
      </c>
      <c r="C64" s="100"/>
      <c r="D64" s="100"/>
      <c r="E64" s="101">
        <f t="shared" si="88"/>
        <v>0</v>
      </c>
      <c r="F64" s="99">
        <v>0.58333333333333304</v>
      </c>
      <c r="G64" s="100">
        <v>0.75</v>
      </c>
      <c r="H64" s="102">
        <f t="shared" si="89"/>
        <v>0.16666666666666699</v>
      </c>
      <c r="I64" s="99">
        <v>0.75</v>
      </c>
      <c r="J64" s="99">
        <v>0.91666666666666696</v>
      </c>
      <c r="K64" s="102">
        <f t="shared" si="90"/>
        <v>0.16666666666666699</v>
      </c>
      <c r="L64" s="113">
        <f t="shared" si="91"/>
        <v>0.33333333333333298</v>
      </c>
    </row>
    <row r="65" spans="1:13">
      <c r="A65" s="93" t="s">
        <v>110</v>
      </c>
      <c r="B65" s="103" t="s">
        <v>111</v>
      </c>
      <c r="C65" s="99">
        <v>0.25</v>
      </c>
      <c r="D65" s="100">
        <v>0.5</v>
      </c>
      <c r="E65" s="101">
        <f t="shared" ref="E65:E74" si="92">IF(D65&gt;C65,D65-C65,C65-D65)</f>
        <v>0.25</v>
      </c>
      <c r="F65" s="100">
        <v>0.5</v>
      </c>
      <c r="G65" s="99">
        <v>0.58333333333333304</v>
      </c>
      <c r="H65" s="102">
        <f t="shared" ref="H65:H74" si="93">IF(G65&gt;F65,G65-F65,F65-G65)</f>
        <v>8.3333333333333398E-2</v>
      </c>
      <c r="I65" s="100"/>
      <c r="J65" s="100"/>
      <c r="K65" s="102">
        <f t="shared" ref="K65:K74" si="94">IF(J65&gt;I65,J65-I65,I65-J65)</f>
        <v>0</v>
      </c>
      <c r="L65" s="113">
        <f t="shared" ref="L65:L74" si="95">E65+H65+K65</f>
        <v>0.33333333333333298</v>
      </c>
    </row>
    <row r="66" spans="1:13">
      <c r="A66" s="93" t="s">
        <v>112</v>
      </c>
      <c r="B66" s="98" t="s">
        <v>113</v>
      </c>
      <c r="C66" s="100"/>
      <c r="D66" s="100"/>
      <c r="E66" s="101">
        <f t="shared" si="92"/>
        <v>0</v>
      </c>
      <c r="F66" s="99">
        <v>0.58333333333333304</v>
      </c>
      <c r="G66" s="100">
        <v>0.75</v>
      </c>
      <c r="H66" s="102">
        <f t="shared" si="93"/>
        <v>0.16666666666666699</v>
      </c>
      <c r="I66" s="99">
        <v>0.75</v>
      </c>
      <c r="J66" s="99">
        <v>0.91666666666666696</v>
      </c>
      <c r="K66" s="102">
        <f t="shared" si="94"/>
        <v>0.16666666666666699</v>
      </c>
      <c r="L66" s="113">
        <f t="shared" si="95"/>
        <v>0.33333333333333298</v>
      </c>
    </row>
    <row r="67" spans="1:13" hidden="1">
      <c r="A67" s="93" t="s">
        <v>112</v>
      </c>
      <c r="B67" s="98" t="s">
        <v>113</v>
      </c>
      <c r="C67" s="100"/>
      <c r="D67" s="100"/>
      <c r="E67" s="101">
        <f t="shared" si="92"/>
        <v>0</v>
      </c>
      <c r="F67" s="99">
        <v>0.58333333333333304</v>
      </c>
      <c r="G67" s="100">
        <v>0.75</v>
      </c>
      <c r="H67" s="102">
        <f t="shared" si="93"/>
        <v>0.16666666666666699</v>
      </c>
      <c r="I67" s="99">
        <v>0.75</v>
      </c>
      <c r="J67" s="99">
        <v>0.91666666666666696</v>
      </c>
      <c r="K67" s="102">
        <f t="shared" si="94"/>
        <v>0.16666666666666699</v>
      </c>
      <c r="L67" s="113">
        <f t="shared" si="95"/>
        <v>0.33333333333333298</v>
      </c>
    </row>
    <row r="68" spans="1:13">
      <c r="A68" s="93" t="s">
        <v>114</v>
      </c>
      <c r="B68" s="104" t="s">
        <v>115</v>
      </c>
      <c r="C68" s="105"/>
      <c r="D68" s="105"/>
      <c r="E68" s="106">
        <f t="shared" si="92"/>
        <v>0</v>
      </c>
      <c r="F68" s="105"/>
      <c r="G68" s="105"/>
      <c r="H68" s="107">
        <f t="shared" si="93"/>
        <v>0</v>
      </c>
      <c r="I68" s="105"/>
      <c r="J68" s="105"/>
      <c r="K68" s="107">
        <f t="shared" si="94"/>
        <v>0</v>
      </c>
      <c r="L68" s="114">
        <f t="shared" si="95"/>
        <v>0</v>
      </c>
      <c r="M68" s="115" t="s">
        <v>25</v>
      </c>
    </row>
    <row r="69" spans="1:13">
      <c r="A69" s="93" t="s">
        <v>116</v>
      </c>
      <c r="B69" s="98" t="s">
        <v>117</v>
      </c>
      <c r="C69" s="99">
        <v>0.41666666666666702</v>
      </c>
      <c r="D69" s="100">
        <v>0.58333333333333304</v>
      </c>
      <c r="E69" s="101">
        <f t="shared" ref="E69" si="96">IF(D69&gt;C69,D69-C69,C69-D69)</f>
        <v>0.16666666666666699</v>
      </c>
      <c r="F69" s="100"/>
      <c r="G69" s="99"/>
      <c r="H69" s="102">
        <f t="shared" ref="H69" si="97">IF(G69&gt;F69,G69-F69,F69-G69)</f>
        <v>0</v>
      </c>
      <c r="I69" s="99">
        <v>0.75</v>
      </c>
      <c r="J69" s="99">
        <v>0.91666666666666696</v>
      </c>
      <c r="K69" s="102">
        <f t="shared" ref="K69" si="98">IF(J69&gt;I69,J69-I69,I69-J69)</f>
        <v>0.16666666666666699</v>
      </c>
      <c r="L69" s="113">
        <f t="shared" ref="L69" si="99">E69+H69+K69</f>
        <v>0.33333333333333298</v>
      </c>
    </row>
    <row r="70" spans="1:13">
      <c r="A70" s="93" t="s">
        <v>26</v>
      </c>
      <c r="B70" s="98" t="s">
        <v>27</v>
      </c>
      <c r="C70" s="99">
        <v>0.25</v>
      </c>
      <c r="D70" s="100">
        <v>0.5</v>
      </c>
      <c r="E70" s="101">
        <f t="shared" si="92"/>
        <v>0.25</v>
      </c>
      <c r="F70" s="100">
        <v>0.5</v>
      </c>
      <c r="G70" s="99">
        <v>0.58333333333333304</v>
      </c>
      <c r="H70" s="102">
        <f t="shared" si="93"/>
        <v>8.3333333333333398E-2</v>
      </c>
      <c r="I70" s="100"/>
      <c r="J70" s="100"/>
      <c r="K70" s="102">
        <f t="shared" si="94"/>
        <v>0</v>
      </c>
      <c r="L70" s="113">
        <f t="shared" si="95"/>
        <v>0.33333333333333298</v>
      </c>
    </row>
    <row r="71" spans="1:13">
      <c r="A71" s="93" t="s">
        <v>118</v>
      </c>
      <c r="B71" s="104" t="s">
        <v>119</v>
      </c>
      <c r="C71" s="99">
        <v>0.41666666666666702</v>
      </c>
      <c r="D71" s="100">
        <v>0.58333333333333304</v>
      </c>
      <c r="E71" s="101">
        <f t="shared" si="92"/>
        <v>0.16666666666666699</v>
      </c>
      <c r="F71" s="100"/>
      <c r="G71" s="99"/>
      <c r="H71" s="102">
        <f t="shared" si="93"/>
        <v>0</v>
      </c>
      <c r="I71" s="99">
        <v>0.75</v>
      </c>
      <c r="J71" s="99">
        <v>0.91666666666666696</v>
      </c>
      <c r="K71" s="102">
        <f t="shared" si="94"/>
        <v>0.16666666666666699</v>
      </c>
      <c r="L71" s="113">
        <f t="shared" si="95"/>
        <v>0.33333333333333298</v>
      </c>
    </row>
    <row r="72" spans="1:13">
      <c r="A72" s="93" t="s">
        <v>120</v>
      </c>
      <c r="B72" s="103" t="s">
        <v>121</v>
      </c>
      <c r="C72" s="99">
        <v>0.25</v>
      </c>
      <c r="D72" s="100">
        <v>0.5</v>
      </c>
      <c r="E72" s="101">
        <f t="shared" si="92"/>
        <v>0.25</v>
      </c>
      <c r="F72" s="100">
        <v>0.5</v>
      </c>
      <c r="G72" s="99">
        <v>0.58333333333333304</v>
      </c>
      <c r="H72" s="102">
        <f t="shared" si="93"/>
        <v>8.3333333333333398E-2</v>
      </c>
      <c r="I72" s="100"/>
      <c r="J72" s="100"/>
      <c r="K72" s="102">
        <f t="shared" si="94"/>
        <v>0</v>
      </c>
      <c r="L72" s="113">
        <f t="shared" si="95"/>
        <v>0.33333333333333298</v>
      </c>
    </row>
    <row r="73" spans="1:13" s="90" customFormat="1">
      <c r="A73" s="93" t="s">
        <v>122</v>
      </c>
      <c r="B73" s="104" t="s">
        <v>123</v>
      </c>
      <c r="C73" s="105"/>
      <c r="D73" s="105"/>
      <c r="E73" s="106">
        <f t="shared" si="92"/>
        <v>0</v>
      </c>
      <c r="F73" s="105"/>
      <c r="G73" s="105"/>
      <c r="H73" s="107">
        <f t="shared" si="93"/>
        <v>0</v>
      </c>
      <c r="I73" s="105"/>
      <c r="J73" s="105"/>
      <c r="K73" s="107">
        <f t="shared" si="94"/>
        <v>0</v>
      </c>
      <c r="L73" s="114">
        <f t="shared" si="95"/>
        <v>0</v>
      </c>
      <c r="M73" s="115" t="s">
        <v>25</v>
      </c>
    </row>
    <row r="74" spans="1:13">
      <c r="A74" s="93" t="s">
        <v>30</v>
      </c>
      <c r="B74" s="104" t="s">
        <v>124</v>
      </c>
      <c r="C74" s="100"/>
      <c r="D74" s="100"/>
      <c r="E74" s="101">
        <f t="shared" si="92"/>
        <v>0</v>
      </c>
      <c r="F74" s="99">
        <v>0.58333333333333304</v>
      </c>
      <c r="G74" s="100">
        <v>0.75</v>
      </c>
      <c r="H74" s="102">
        <f t="shared" si="93"/>
        <v>0.16666666666666699</v>
      </c>
      <c r="I74" s="99">
        <v>0.75</v>
      </c>
      <c r="J74" s="99">
        <v>0.91666666666666696</v>
      </c>
      <c r="K74" s="102">
        <f t="shared" si="94"/>
        <v>0.16666666666666699</v>
      </c>
      <c r="L74" s="113">
        <f t="shared" si="95"/>
        <v>0.33333333333333298</v>
      </c>
    </row>
    <row r="75" spans="1:13">
      <c r="A75" s="93" t="s">
        <v>30</v>
      </c>
      <c r="B75" s="104" t="s">
        <v>125</v>
      </c>
      <c r="C75" s="99">
        <v>0.41666666666666702</v>
      </c>
      <c r="D75" s="100">
        <v>0.58333333333333304</v>
      </c>
      <c r="E75" s="101">
        <f t="shared" ref="E75" si="100">IF(D75&gt;C75,D75-C75,C75-D75)</f>
        <v>0.16666666666666699</v>
      </c>
      <c r="F75" s="100"/>
      <c r="G75" s="99"/>
      <c r="H75" s="102">
        <f t="shared" ref="H75" si="101">IF(G75&gt;F75,G75-F75,F75-G75)</f>
        <v>0</v>
      </c>
      <c r="I75" s="99">
        <v>0.75</v>
      </c>
      <c r="J75" s="99">
        <v>0.91666666666666696</v>
      </c>
      <c r="K75" s="102">
        <f t="shared" ref="K75" si="102">IF(J75&gt;I75,J75-I75,I75-J75)</f>
        <v>0.16666666666666699</v>
      </c>
      <c r="L75" s="113">
        <f t="shared" ref="L75" si="103">E75+H75+K75</f>
        <v>0.33333333333333298</v>
      </c>
    </row>
    <row r="76" spans="1:13">
      <c r="A76" s="108"/>
      <c r="B76" s="98"/>
      <c r="C76" s="109"/>
      <c r="D76" s="109"/>
      <c r="E76" s="110">
        <f>SUM(E62:E75)</f>
        <v>1.5</v>
      </c>
      <c r="F76" s="111"/>
      <c r="G76" s="111"/>
      <c r="H76" s="110">
        <f>SUM(H62:H75)</f>
        <v>1.1666666666666701</v>
      </c>
      <c r="I76" s="109"/>
      <c r="J76" s="109"/>
      <c r="K76" s="110">
        <f>SUM(K62:K75)</f>
        <v>1.3333333333333299</v>
      </c>
      <c r="L76" s="110">
        <f>SUM(L62:L75)</f>
        <v>4</v>
      </c>
      <c r="M76" s="108"/>
    </row>
    <row r="77" spans="1:13">
      <c r="C77" s="94" t="str">
        <f>+C59</f>
        <v>CUISINE RESTO</v>
      </c>
      <c r="G77" s="5" t="s">
        <v>36</v>
      </c>
      <c r="H77" s="6">
        <f>+H59+1</f>
        <v>46248</v>
      </c>
    </row>
    <row r="78" spans="1:13">
      <c r="C78" s="172" t="s">
        <v>3</v>
      </c>
      <c r="D78" s="172"/>
      <c r="E78" s="172"/>
      <c r="F78" s="173" t="s">
        <v>4</v>
      </c>
      <c r="G78" s="173"/>
      <c r="H78" s="173"/>
      <c r="I78" s="174" t="s">
        <v>5</v>
      </c>
      <c r="J78" s="174"/>
      <c r="K78" s="174"/>
    </row>
    <row r="79" spans="1:13">
      <c r="B79" s="95" t="s">
        <v>6</v>
      </c>
      <c r="C79" s="96" t="s">
        <v>7</v>
      </c>
      <c r="D79" s="96" t="s">
        <v>8</v>
      </c>
      <c r="E79" s="96" t="s">
        <v>9</v>
      </c>
      <c r="F79" s="97" t="s">
        <v>7</v>
      </c>
      <c r="G79" s="97" t="s">
        <v>8</v>
      </c>
      <c r="H79" s="97" t="s">
        <v>9</v>
      </c>
      <c r="I79" s="112" t="s">
        <v>7</v>
      </c>
      <c r="J79" s="112" t="s">
        <v>8</v>
      </c>
      <c r="K79" s="112" t="s">
        <v>9</v>
      </c>
      <c r="L79" s="95" t="s">
        <v>10</v>
      </c>
    </row>
    <row r="80" spans="1:13">
      <c r="A80" s="93" t="s">
        <v>105</v>
      </c>
      <c r="B80" s="98" t="s">
        <v>106</v>
      </c>
      <c r="C80" s="100"/>
      <c r="D80" s="100"/>
      <c r="E80" s="101">
        <f t="shared" ref="E80:E81" si="104">IF(D80&gt;C80,D80-C80,C80-D80)</f>
        <v>0</v>
      </c>
      <c r="F80" s="99">
        <v>0.58333333333333304</v>
      </c>
      <c r="G80" s="100">
        <v>0.75</v>
      </c>
      <c r="H80" s="102">
        <f t="shared" ref="H80:H81" si="105">IF(G80&gt;F80,G80-F80,F80-G80)</f>
        <v>0.16666666666666699</v>
      </c>
      <c r="I80" s="99">
        <v>0.75</v>
      </c>
      <c r="J80" s="99">
        <v>0.91666666666666696</v>
      </c>
      <c r="K80" s="102">
        <f t="shared" ref="K80:K81" si="106">IF(J80&gt;I80,J80-I80,I80-J80)</f>
        <v>0.16666666666666699</v>
      </c>
      <c r="L80" s="113">
        <f t="shared" ref="L80:L81" si="107">E80+H80+K80</f>
        <v>0.33333333333333298</v>
      </c>
    </row>
    <row r="81" spans="1:13">
      <c r="A81" s="93" t="s">
        <v>107</v>
      </c>
      <c r="B81" s="103" t="s">
        <v>108</v>
      </c>
      <c r="C81" s="99">
        <v>0.25</v>
      </c>
      <c r="D81" s="100">
        <v>0.5</v>
      </c>
      <c r="E81" s="101">
        <f t="shared" si="104"/>
        <v>0.25</v>
      </c>
      <c r="F81" s="100">
        <v>0.5</v>
      </c>
      <c r="G81" s="99">
        <v>0.58333333333333304</v>
      </c>
      <c r="H81" s="102">
        <f t="shared" si="105"/>
        <v>8.3333333333333398E-2</v>
      </c>
      <c r="I81" s="100"/>
      <c r="J81" s="100"/>
      <c r="K81" s="102">
        <f t="shared" si="106"/>
        <v>0</v>
      </c>
      <c r="L81" s="113">
        <f t="shared" si="107"/>
        <v>0.33333333333333298</v>
      </c>
    </row>
    <row r="82" spans="1:13">
      <c r="A82" s="93" t="s">
        <v>109</v>
      </c>
      <c r="B82" s="104" t="s">
        <v>70</v>
      </c>
      <c r="C82" s="99">
        <v>0.41666666666666702</v>
      </c>
      <c r="D82" s="100">
        <v>0.58333333333333304</v>
      </c>
      <c r="E82" s="101">
        <f t="shared" ref="E82" si="108">IF(D82&gt;C82,D82-C82,C82-D82)</f>
        <v>0.16666666666666699</v>
      </c>
      <c r="F82" s="100"/>
      <c r="G82" s="99"/>
      <c r="H82" s="102">
        <f t="shared" ref="H82" si="109">IF(G82&gt;F82,G82-F82,F82-G82)</f>
        <v>0</v>
      </c>
      <c r="I82" s="99">
        <v>0.75</v>
      </c>
      <c r="J82" s="99">
        <v>0.91666666666666696</v>
      </c>
      <c r="K82" s="102">
        <f t="shared" ref="K82" si="110">IF(J82&gt;I82,J82-I82,I82-J82)</f>
        <v>0.16666666666666699</v>
      </c>
      <c r="L82" s="113">
        <f t="shared" ref="L82" si="111">E82+H82+K82</f>
        <v>0.33333333333333298</v>
      </c>
    </row>
    <row r="83" spans="1:13" hidden="1">
      <c r="A83" s="93" t="s">
        <v>110</v>
      </c>
      <c r="B83" s="103" t="s">
        <v>111</v>
      </c>
      <c r="C83" s="99">
        <v>0.25</v>
      </c>
      <c r="D83" s="100">
        <v>0.5</v>
      </c>
      <c r="E83" s="101">
        <f t="shared" ref="E83:E87" si="112">IF(D83&gt;C83,D83-C83,C83-D83)</f>
        <v>0.25</v>
      </c>
      <c r="F83" s="100">
        <v>0.5</v>
      </c>
      <c r="G83" s="99">
        <v>0.58333333333333304</v>
      </c>
      <c r="H83" s="102">
        <f t="shared" ref="H83:H87" si="113">IF(G83&gt;F83,G83-F83,F83-G83)</f>
        <v>8.3333333333333398E-2</v>
      </c>
      <c r="I83" s="100"/>
      <c r="J83" s="100"/>
      <c r="K83" s="102">
        <f t="shared" ref="K83:K87" si="114">IF(J83&gt;I83,J83-I83,I83-J83)</f>
        <v>0</v>
      </c>
      <c r="L83" s="113">
        <f t="shared" ref="L83:L87" si="115">E83+H83+K83</f>
        <v>0.33333333333333298</v>
      </c>
    </row>
    <row r="84" spans="1:13">
      <c r="A84" s="93" t="s">
        <v>110</v>
      </c>
      <c r="B84" s="103" t="s">
        <v>111</v>
      </c>
      <c r="C84" s="99">
        <v>0.25</v>
      </c>
      <c r="D84" s="100">
        <v>0.5</v>
      </c>
      <c r="E84" s="101">
        <f t="shared" si="112"/>
        <v>0.25</v>
      </c>
      <c r="F84" s="100">
        <v>0.5</v>
      </c>
      <c r="G84" s="99">
        <v>0.58333333333333304</v>
      </c>
      <c r="H84" s="102">
        <f t="shared" si="113"/>
        <v>8.3333333333333398E-2</v>
      </c>
      <c r="I84" s="100"/>
      <c r="J84" s="100"/>
      <c r="K84" s="102">
        <f t="shared" si="114"/>
        <v>0</v>
      </c>
      <c r="L84" s="113">
        <f t="shared" si="115"/>
        <v>0.33333333333333298</v>
      </c>
    </row>
    <row r="85" spans="1:13">
      <c r="A85" s="93" t="s">
        <v>112</v>
      </c>
      <c r="B85" s="98" t="s">
        <v>113</v>
      </c>
      <c r="C85" s="100"/>
      <c r="D85" s="100"/>
      <c r="E85" s="101">
        <f t="shared" si="112"/>
        <v>0</v>
      </c>
      <c r="F85" s="99">
        <v>0.58333333333333304</v>
      </c>
      <c r="G85" s="100">
        <v>0.75</v>
      </c>
      <c r="H85" s="102">
        <f t="shared" si="113"/>
        <v>0.16666666666666699</v>
      </c>
      <c r="I85" s="99">
        <v>0.75</v>
      </c>
      <c r="J85" s="99">
        <v>0.91666666666666696</v>
      </c>
      <c r="K85" s="102">
        <f t="shared" si="114"/>
        <v>0.16666666666666699</v>
      </c>
      <c r="L85" s="113">
        <f t="shared" si="115"/>
        <v>0.33333333333333298</v>
      </c>
    </row>
    <row r="86" spans="1:13">
      <c r="A86" s="93" t="s">
        <v>114</v>
      </c>
      <c r="B86" s="103" t="s">
        <v>115</v>
      </c>
      <c r="C86" s="99">
        <v>0.41666666666666702</v>
      </c>
      <c r="D86" s="100">
        <v>0.58333333333333304</v>
      </c>
      <c r="E86" s="101">
        <f t="shared" si="112"/>
        <v>0.16666666666666699</v>
      </c>
      <c r="F86" s="100"/>
      <c r="G86" s="99"/>
      <c r="H86" s="102">
        <f t="shared" si="113"/>
        <v>0</v>
      </c>
      <c r="I86" s="99">
        <v>0.75</v>
      </c>
      <c r="J86" s="99">
        <v>0.91666666666666696</v>
      </c>
      <c r="K86" s="102">
        <f t="shared" si="114"/>
        <v>0.16666666666666699</v>
      </c>
      <c r="L86" s="113">
        <f t="shared" si="115"/>
        <v>0.33333333333333298</v>
      </c>
    </row>
    <row r="87" spans="1:13">
      <c r="A87" s="93" t="s">
        <v>116</v>
      </c>
      <c r="B87" s="98" t="s">
        <v>117</v>
      </c>
      <c r="C87" s="100"/>
      <c r="D87" s="100"/>
      <c r="E87" s="101">
        <f t="shared" si="112"/>
        <v>0</v>
      </c>
      <c r="F87" s="99">
        <v>0.58333333333333304</v>
      </c>
      <c r="G87" s="100">
        <v>0.75</v>
      </c>
      <c r="H87" s="102">
        <f t="shared" si="113"/>
        <v>0.16666666666666699</v>
      </c>
      <c r="I87" s="99">
        <v>0.75</v>
      </c>
      <c r="J87" s="99">
        <v>0.91666666666666696</v>
      </c>
      <c r="K87" s="102">
        <f t="shared" si="114"/>
        <v>0.16666666666666699</v>
      </c>
      <c r="L87" s="113">
        <f t="shared" si="115"/>
        <v>0.33333333333333298</v>
      </c>
    </row>
    <row r="88" spans="1:13">
      <c r="A88" s="93" t="s">
        <v>26</v>
      </c>
      <c r="B88" s="98" t="s">
        <v>27</v>
      </c>
      <c r="C88" s="99">
        <v>0.25</v>
      </c>
      <c r="D88" s="100">
        <v>0.5</v>
      </c>
      <c r="E88" s="101">
        <f t="shared" ref="E88:E92" si="116">IF(D88&gt;C88,D88-C88,C88-D88)</f>
        <v>0.25</v>
      </c>
      <c r="F88" s="100">
        <v>0.5</v>
      </c>
      <c r="G88" s="99">
        <v>0.58333333333333304</v>
      </c>
      <c r="H88" s="102">
        <f t="shared" ref="H88:H93" si="117">IF(G88&gt;F88,G88-F88,F88-G88)</f>
        <v>8.3333333333333398E-2</v>
      </c>
      <c r="I88" s="100"/>
      <c r="J88" s="100"/>
      <c r="K88" s="102">
        <f t="shared" ref="K88:K93" si="118">IF(J88&gt;I88,J88-I88,I88-J88)</f>
        <v>0</v>
      </c>
      <c r="L88" s="113">
        <f t="shared" ref="L88:L93" si="119">E88+H88+K88</f>
        <v>0.33333333333333298</v>
      </c>
    </row>
    <row r="89" spans="1:13">
      <c r="A89" s="93" t="s">
        <v>118</v>
      </c>
      <c r="B89" s="98" t="s">
        <v>119</v>
      </c>
      <c r="C89" s="105"/>
      <c r="D89" s="105"/>
      <c r="E89" s="106">
        <f t="shared" si="116"/>
        <v>0</v>
      </c>
      <c r="F89" s="105"/>
      <c r="G89" s="105"/>
      <c r="H89" s="107">
        <f t="shared" si="117"/>
        <v>0</v>
      </c>
      <c r="I89" s="105"/>
      <c r="J89" s="105"/>
      <c r="K89" s="107">
        <f t="shared" si="118"/>
        <v>0</v>
      </c>
      <c r="L89" s="114">
        <f t="shared" si="119"/>
        <v>0</v>
      </c>
      <c r="M89" s="115" t="s">
        <v>25</v>
      </c>
    </row>
    <row r="90" spans="1:13" s="90" customFormat="1">
      <c r="A90" s="93" t="s">
        <v>120</v>
      </c>
      <c r="B90" s="104" t="s">
        <v>121</v>
      </c>
      <c r="C90" s="99">
        <v>0.25</v>
      </c>
      <c r="D90" s="100">
        <v>0.5</v>
      </c>
      <c r="E90" s="101">
        <f t="shared" si="116"/>
        <v>0.25</v>
      </c>
      <c r="F90" s="100">
        <v>0.5</v>
      </c>
      <c r="G90" s="99">
        <v>0.58333333333333304</v>
      </c>
      <c r="H90" s="102">
        <f t="shared" si="117"/>
        <v>8.3333333333333398E-2</v>
      </c>
      <c r="I90" s="100"/>
      <c r="J90" s="100"/>
      <c r="K90" s="102">
        <f t="shared" si="118"/>
        <v>0</v>
      </c>
      <c r="L90" s="113">
        <f t="shared" si="119"/>
        <v>0.33333333333333298</v>
      </c>
      <c r="M90" s="92"/>
    </row>
    <row r="91" spans="1:13">
      <c r="A91" s="93" t="s">
        <v>122</v>
      </c>
      <c r="B91" s="104" t="s">
        <v>123</v>
      </c>
      <c r="C91" s="99">
        <v>0.41666666666666702</v>
      </c>
      <c r="D91" s="100">
        <v>0.58333333333333304</v>
      </c>
      <c r="E91" s="101">
        <f t="shared" si="116"/>
        <v>0.16666666666666699</v>
      </c>
      <c r="F91" s="100"/>
      <c r="G91" s="99"/>
      <c r="H91" s="102">
        <f t="shared" si="117"/>
        <v>0</v>
      </c>
      <c r="I91" s="99">
        <v>0.75</v>
      </c>
      <c r="J91" s="99">
        <v>0.91666666666666696</v>
      </c>
      <c r="K91" s="102">
        <f t="shared" si="118"/>
        <v>0.16666666666666699</v>
      </c>
      <c r="L91" s="113">
        <f t="shared" si="119"/>
        <v>0.33333333333333298</v>
      </c>
    </row>
    <row r="92" spans="1:13">
      <c r="A92" s="93" t="s">
        <v>30</v>
      </c>
      <c r="B92" s="104" t="s">
        <v>124</v>
      </c>
      <c r="C92" s="99">
        <v>0.41666666666666702</v>
      </c>
      <c r="D92" s="100">
        <v>0.58333333333333304</v>
      </c>
      <c r="E92" s="101">
        <f t="shared" si="116"/>
        <v>0.16666666666666699</v>
      </c>
      <c r="F92" s="100"/>
      <c r="G92" s="99"/>
      <c r="H92" s="102">
        <f t="shared" si="117"/>
        <v>0</v>
      </c>
      <c r="I92" s="99">
        <v>0.75</v>
      </c>
      <c r="J92" s="99">
        <v>0.91666666666666696</v>
      </c>
      <c r="K92" s="102">
        <f t="shared" si="118"/>
        <v>0.16666666666666699</v>
      </c>
      <c r="L92" s="113">
        <f t="shared" si="119"/>
        <v>0.33333333333333298</v>
      </c>
    </row>
    <row r="93" spans="1:13">
      <c r="A93" s="93" t="s">
        <v>30</v>
      </c>
      <c r="B93" s="104" t="s">
        <v>125</v>
      </c>
      <c r="C93" s="99">
        <v>0.41666666666666702</v>
      </c>
      <c r="D93" s="100">
        <v>0.58333333333333304</v>
      </c>
      <c r="E93" s="101">
        <f t="shared" ref="E93" si="120">IF(D93&gt;C93,D93-C93,C93-D93)</f>
        <v>0.16666666666666699</v>
      </c>
      <c r="F93" s="99">
        <v>0.58333333333333304</v>
      </c>
      <c r="G93" s="100">
        <v>0.75</v>
      </c>
      <c r="H93" s="102">
        <f t="shared" si="117"/>
        <v>0.16666666666666699</v>
      </c>
      <c r="I93" s="100"/>
      <c r="J93" s="100"/>
      <c r="K93" s="102">
        <f t="shared" si="118"/>
        <v>0</v>
      </c>
      <c r="L93" s="113">
        <f t="shared" si="119"/>
        <v>0.33333333333333298</v>
      </c>
      <c r="M93" s="108"/>
    </row>
    <row r="94" spans="1:13">
      <c r="A94" s="108"/>
      <c r="B94" s="98"/>
      <c r="C94" s="109"/>
      <c r="D94" s="109"/>
      <c r="E94" s="110">
        <f>SUM(E80:E93)</f>
        <v>2.0833333333333299</v>
      </c>
      <c r="F94" s="111"/>
      <c r="G94" s="111"/>
      <c r="H94" s="110">
        <f>SUM(H80:H93)</f>
        <v>1.0833333333333299</v>
      </c>
      <c r="I94" s="109"/>
      <c r="J94" s="109"/>
      <c r="K94" s="110">
        <f>SUM(K80:K93)</f>
        <v>1.1666666666666701</v>
      </c>
      <c r="L94" s="110">
        <f>SUM(L80:L93)</f>
        <v>4.3333333333333304</v>
      </c>
    </row>
    <row r="95" spans="1:13">
      <c r="C95" s="94" t="str">
        <f>+C77</f>
        <v>CUISINE RESTO</v>
      </c>
      <c r="G95" s="5" t="s">
        <v>37</v>
      </c>
      <c r="H95" s="6">
        <f>+H77+1</f>
        <v>46249</v>
      </c>
    </row>
    <row r="96" spans="1:13">
      <c r="C96" s="172" t="s">
        <v>3</v>
      </c>
      <c r="D96" s="172"/>
      <c r="E96" s="172"/>
      <c r="F96" s="173" t="s">
        <v>4</v>
      </c>
      <c r="G96" s="173"/>
      <c r="H96" s="173"/>
      <c r="I96" s="174" t="s">
        <v>5</v>
      </c>
      <c r="J96" s="174"/>
      <c r="K96" s="174"/>
    </row>
    <row r="97" spans="1:13">
      <c r="B97" s="95" t="s">
        <v>6</v>
      </c>
      <c r="C97" s="96" t="s">
        <v>7</v>
      </c>
      <c r="D97" s="96" t="s">
        <v>8</v>
      </c>
      <c r="E97" s="96" t="s">
        <v>9</v>
      </c>
      <c r="F97" s="97" t="s">
        <v>7</v>
      </c>
      <c r="G97" s="97" t="s">
        <v>8</v>
      </c>
      <c r="H97" s="97" t="s">
        <v>9</v>
      </c>
      <c r="I97" s="112" t="s">
        <v>7</v>
      </c>
      <c r="J97" s="112" t="s">
        <v>8</v>
      </c>
      <c r="K97" s="112" t="s">
        <v>9</v>
      </c>
      <c r="L97" s="95" t="s">
        <v>10</v>
      </c>
    </row>
    <row r="98" spans="1:13">
      <c r="A98" s="93" t="s">
        <v>105</v>
      </c>
      <c r="B98" s="98" t="s">
        <v>106</v>
      </c>
      <c r="C98" s="100"/>
      <c r="D98" s="100"/>
      <c r="E98" s="101">
        <f t="shared" ref="E98:E100" si="121">IF(D98&gt;C98,D98-C98,C98-D98)</f>
        <v>0</v>
      </c>
      <c r="F98" s="99">
        <v>0.58333333333333304</v>
      </c>
      <c r="G98" s="100">
        <v>0.75</v>
      </c>
      <c r="H98" s="102">
        <f t="shared" ref="H98:H100" si="122">IF(G98&gt;F98,G98-F98,F98-G98)</f>
        <v>0.16666666666666699</v>
      </c>
      <c r="I98" s="99">
        <v>0.75</v>
      </c>
      <c r="J98" s="99">
        <v>0.91666666666666696</v>
      </c>
      <c r="K98" s="102">
        <f t="shared" ref="K98:K100" si="123">IF(J98&gt;I98,J98-I98,I98-J98)</f>
        <v>0.16666666666666699</v>
      </c>
      <c r="L98" s="113">
        <f t="shared" ref="L98:L100" si="124">E98+H98+K98</f>
        <v>0.33333333333333298</v>
      </c>
    </row>
    <row r="99" spans="1:13" hidden="1">
      <c r="A99" s="93" t="s">
        <v>107</v>
      </c>
      <c r="B99" s="103" t="s">
        <v>108</v>
      </c>
      <c r="C99" s="99">
        <v>0.25</v>
      </c>
      <c r="D99" s="100">
        <v>0.5</v>
      </c>
      <c r="E99" s="101">
        <f t="shared" si="121"/>
        <v>0.25</v>
      </c>
      <c r="F99" s="100">
        <v>0.5</v>
      </c>
      <c r="G99" s="99">
        <v>0.58333333333333304</v>
      </c>
      <c r="H99" s="102">
        <f t="shared" si="122"/>
        <v>8.3333333333333398E-2</v>
      </c>
      <c r="I99" s="100"/>
      <c r="J99" s="100"/>
      <c r="K99" s="102">
        <f t="shared" si="123"/>
        <v>0</v>
      </c>
      <c r="L99" s="113">
        <f t="shared" si="124"/>
        <v>0.33333333333333298</v>
      </c>
    </row>
    <row r="100" spans="1:13">
      <c r="A100" s="93" t="s">
        <v>107</v>
      </c>
      <c r="B100" s="103" t="s">
        <v>108</v>
      </c>
      <c r="C100" s="99">
        <v>0.25</v>
      </c>
      <c r="D100" s="100">
        <v>0.5</v>
      </c>
      <c r="E100" s="101">
        <f t="shared" si="121"/>
        <v>0.25</v>
      </c>
      <c r="F100" s="100">
        <v>0.5</v>
      </c>
      <c r="G100" s="99">
        <v>0.58333333333333304</v>
      </c>
      <c r="H100" s="102">
        <f t="shared" si="122"/>
        <v>8.3333333333333398E-2</v>
      </c>
      <c r="I100" s="100"/>
      <c r="J100" s="100"/>
      <c r="K100" s="102">
        <f t="shared" si="123"/>
        <v>0</v>
      </c>
      <c r="L100" s="113">
        <f t="shared" si="124"/>
        <v>0.33333333333333298</v>
      </c>
    </row>
    <row r="101" spans="1:13">
      <c r="A101" s="93" t="s">
        <v>109</v>
      </c>
      <c r="B101" s="104" t="s">
        <v>70</v>
      </c>
      <c r="C101" s="100"/>
      <c r="D101" s="100"/>
      <c r="E101" s="101">
        <f t="shared" ref="E101" si="125">IF(D101&gt;C101,D101-C101,C101-D101)</f>
        <v>0</v>
      </c>
      <c r="F101" s="99">
        <v>0.58333333333333304</v>
      </c>
      <c r="G101" s="100">
        <v>0.75</v>
      </c>
      <c r="H101" s="102">
        <f t="shared" ref="H101" si="126">IF(G101&gt;F101,G101-F101,F101-G101)</f>
        <v>0.16666666666666699</v>
      </c>
      <c r="I101" s="99">
        <v>0.75</v>
      </c>
      <c r="J101" s="99">
        <v>0.91666666666666696</v>
      </c>
      <c r="K101" s="102">
        <f t="shared" ref="K101" si="127">IF(J101&gt;I101,J101-I101,I101-J101)</f>
        <v>0.16666666666666699</v>
      </c>
      <c r="L101" s="113">
        <f t="shared" ref="L101" si="128">E101+H101+K101</f>
        <v>0.33333333333333298</v>
      </c>
    </row>
    <row r="102" spans="1:13">
      <c r="A102" s="93" t="s">
        <v>110</v>
      </c>
      <c r="B102" s="103" t="s">
        <v>111</v>
      </c>
      <c r="C102" s="99">
        <v>0.25</v>
      </c>
      <c r="D102" s="100">
        <v>0.5</v>
      </c>
      <c r="E102" s="101">
        <f t="shared" ref="E102:E109" si="129">IF(D102&gt;C102,D102-C102,C102-D102)</f>
        <v>0.25</v>
      </c>
      <c r="F102" s="100">
        <v>0.5</v>
      </c>
      <c r="G102" s="99">
        <v>0.58333333333333304</v>
      </c>
      <c r="H102" s="102">
        <f t="shared" ref="H102:H109" si="130">IF(G102&gt;F102,G102-F102,F102-G102)</f>
        <v>8.3333333333333398E-2</v>
      </c>
      <c r="I102" s="100"/>
      <c r="J102" s="100"/>
      <c r="K102" s="102">
        <f t="shared" ref="K102:K109" si="131">IF(J102&gt;I102,J102-I102,I102-J102)</f>
        <v>0</v>
      </c>
      <c r="L102" s="113">
        <f t="shared" ref="L102:L106" si="132">E102+H102+K102</f>
        <v>0.33333333333333298</v>
      </c>
    </row>
    <row r="103" spans="1:13">
      <c r="A103" s="93" t="s">
        <v>112</v>
      </c>
      <c r="B103" s="98" t="s">
        <v>113</v>
      </c>
      <c r="C103" s="100"/>
      <c r="D103" s="100"/>
      <c r="E103" s="101">
        <f t="shared" si="129"/>
        <v>0</v>
      </c>
      <c r="F103" s="99">
        <v>0.58333333333333304</v>
      </c>
      <c r="G103" s="100">
        <v>0.75</v>
      </c>
      <c r="H103" s="102">
        <f t="shared" si="130"/>
        <v>0.16666666666666699</v>
      </c>
      <c r="I103" s="99">
        <v>0.75</v>
      </c>
      <c r="J103" s="99">
        <v>0.91666666666666696</v>
      </c>
      <c r="K103" s="102">
        <f t="shared" si="131"/>
        <v>0.16666666666666699</v>
      </c>
      <c r="L103" s="113">
        <f t="shared" si="132"/>
        <v>0.33333333333333298</v>
      </c>
    </row>
    <row r="104" spans="1:13">
      <c r="A104" s="93" t="s">
        <v>114</v>
      </c>
      <c r="B104" s="103" t="s">
        <v>115</v>
      </c>
      <c r="C104" s="99">
        <v>0.41666666666666702</v>
      </c>
      <c r="D104" s="100">
        <v>0.58333333333333304</v>
      </c>
      <c r="E104" s="101">
        <f t="shared" ref="E104:E105" si="133">IF(D104&gt;C104,D104-C104,C104-D104)</f>
        <v>0.16666666666666699</v>
      </c>
      <c r="F104" s="100"/>
      <c r="G104" s="99"/>
      <c r="H104" s="102">
        <f t="shared" ref="H104:H105" si="134">IF(G104&gt;F104,G104-F104,F104-G104)</f>
        <v>0</v>
      </c>
      <c r="I104" s="99">
        <v>0.75</v>
      </c>
      <c r="J104" s="99">
        <v>0.91666666666666696</v>
      </c>
      <c r="K104" s="102">
        <f t="shared" ref="K104:K105" si="135">IF(J104&gt;I104,J104-I104,I104-J104)</f>
        <v>0.16666666666666699</v>
      </c>
      <c r="L104" s="113">
        <f t="shared" si="132"/>
        <v>0.33333333333333298</v>
      </c>
    </row>
    <row r="105" spans="1:13">
      <c r="A105" s="93" t="s">
        <v>116</v>
      </c>
      <c r="B105" s="98" t="s">
        <v>117</v>
      </c>
      <c r="C105" s="100"/>
      <c r="D105" s="100"/>
      <c r="E105" s="101">
        <f t="shared" si="133"/>
        <v>0</v>
      </c>
      <c r="F105" s="99">
        <v>0.58333333333333304</v>
      </c>
      <c r="G105" s="100">
        <v>0.75</v>
      </c>
      <c r="H105" s="102">
        <f t="shared" si="134"/>
        <v>0.16666666666666699</v>
      </c>
      <c r="I105" s="99">
        <v>0.75</v>
      </c>
      <c r="J105" s="99">
        <v>0.91666666666666696</v>
      </c>
      <c r="K105" s="102">
        <f t="shared" si="135"/>
        <v>0.16666666666666699</v>
      </c>
      <c r="L105" s="113">
        <f t="shared" si="132"/>
        <v>0.33333333333333298</v>
      </c>
    </row>
    <row r="106" spans="1:13" s="90" customFormat="1">
      <c r="A106" s="93" t="s">
        <v>26</v>
      </c>
      <c r="B106" s="98" t="s">
        <v>27</v>
      </c>
      <c r="C106" s="99">
        <v>0.25</v>
      </c>
      <c r="D106" s="100">
        <v>0.5</v>
      </c>
      <c r="E106" s="101">
        <f t="shared" si="129"/>
        <v>0.25</v>
      </c>
      <c r="F106" s="100">
        <v>0.5</v>
      </c>
      <c r="G106" s="99">
        <v>0.58333333333333304</v>
      </c>
      <c r="H106" s="102">
        <f t="shared" si="130"/>
        <v>8.3333333333333398E-2</v>
      </c>
      <c r="I106" s="100"/>
      <c r="J106" s="100"/>
      <c r="K106" s="102">
        <f t="shared" si="131"/>
        <v>0</v>
      </c>
      <c r="L106" s="113">
        <f t="shared" si="132"/>
        <v>0.33333333333333298</v>
      </c>
      <c r="M106" s="92"/>
    </row>
    <row r="107" spans="1:13">
      <c r="A107" s="93" t="s">
        <v>118</v>
      </c>
      <c r="B107" s="104" t="s">
        <v>119</v>
      </c>
      <c r="C107" s="99">
        <v>0.41666666666666702</v>
      </c>
      <c r="D107" s="100">
        <v>0.58333333333333304</v>
      </c>
      <c r="E107" s="101">
        <f t="shared" si="129"/>
        <v>0.16666666666666699</v>
      </c>
      <c r="F107" s="100"/>
      <c r="G107" s="99"/>
      <c r="H107" s="102">
        <f t="shared" si="130"/>
        <v>0</v>
      </c>
      <c r="I107" s="99">
        <v>0.75</v>
      </c>
      <c r="J107" s="99">
        <v>0.91666666666666696</v>
      </c>
      <c r="K107" s="102">
        <f t="shared" si="131"/>
        <v>0.16666666666666699</v>
      </c>
      <c r="L107" s="113">
        <f t="shared" ref="L107:L108" si="136">E107+H107+K107</f>
        <v>0.33333333333333298</v>
      </c>
    </row>
    <row r="108" spans="1:13">
      <c r="A108" s="93" t="s">
        <v>120</v>
      </c>
      <c r="B108" s="104" t="s">
        <v>121</v>
      </c>
      <c r="C108" s="99">
        <v>0.25</v>
      </c>
      <c r="D108" s="100">
        <v>0.5</v>
      </c>
      <c r="E108" s="101">
        <f t="shared" ref="E108" si="137">IF(D108&gt;C108,D108-C108,C108-D108)</f>
        <v>0.25</v>
      </c>
      <c r="F108" s="100">
        <v>0.5</v>
      </c>
      <c r="G108" s="99">
        <v>0.58333333333333304</v>
      </c>
      <c r="H108" s="102">
        <f t="shared" ref="H108" si="138">IF(G108&gt;F108,G108-F108,F108-G108)</f>
        <v>8.3333333333333398E-2</v>
      </c>
      <c r="I108" s="100"/>
      <c r="J108" s="100"/>
      <c r="K108" s="102">
        <f t="shared" ref="K108" si="139">IF(J108&gt;I108,J108-I108,I108-J108)</f>
        <v>0</v>
      </c>
      <c r="L108" s="113">
        <f t="shared" si="136"/>
        <v>0.33333333333333298</v>
      </c>
    </row>
    <row r="109" spans="1:13">
      <c r="A109" s="93" t="s">
        <v>122</v>
      </c>
      <c r="B109" s="98" t="s">
        <v>123</v>
      </c>
      <c r="C109" s="99">
        <v>0.41666666666666702</v>
      </c>
      <c r="D109" s="100">
        <v>0.58333333333333304</v>
      </c>
      <c r="E109" s="101">
        <f t="shared" si="129"/>
        <v>0.16666666666666699</v>
      </c>
      <c r="F109" s="100"/>
      <c r="G109" s="99"/>
      <c r="H109" s="102">
        <f t="shared" si="130"/>
        <v>0</v>
      </c>
      <c r="I109" s="99">
        <v>0.75</v>
      </c>
      <c r="J109" s="99">
        <v>0.91666666666666696</v>
      </c>
      <c r="K109" s="102">
        <f t="shared" si="131"/>
        <v>0.16666666666666699</v>
      </c>
      <c r="L109" s="113">
        <f t="shared" ref="L109" si="140">E109+H109+K109</f>
        <v>0.33333333333333298</v>
      </c>
    </row>
    <row r="110" spans="1:13">
      <c r="A110" s="93" t="s">
        <v>30</v>
      </c>
      <c r="B110" s="104" t="s">
        <v>124</v>
      </c>
      <c r="C110" s="99">
        <v>0.41666666666666702</v>
      </c>
      <c r="D110" s="100">
        <v>0.58333333333333304</v>
      </c>
      <c r="E110" s="101">
        <f t="shared" ref="E110:E111" si="141">IF(D110&gt;C110,D110-C110,C110-D110)</f>
        <v>0.16666666666666699</v>
      </c>
      <c r="F110" s="100"/>
      <c r="G110" s="99"/>
      <c r="H110" s="102">
        <f t="shared" ref="H110:H111" si="142">IF(G110&gt;F110,G110-F110,F110-G110)</f>
        <v>0</v>
      </c>
      <c r="I110" s="99">
        <v>0.75</v>
      </c>
      <c r="J110" s="99">
        <v>0.91666666666666696</v>
      </c>
      <c r="K110" s="102">
        <f t="shared" ref="K110:K111" si="143">IF(J110&gt;I110,J110-I110,I110-J110)</f>
        <v>0.16666666666666699</v>
      </c>
      <c r="L110" s="113">
        <f t="shared" ref="L110:L111" si="144">E110+H110+K110</f>
        <v>0.33333333333333298</v>
      </c>
    </row>
    <row r="111" spans="1:13">
      <c r="A111" s="93" t="s">
        <v>30</v>
      </c>
      <c r="B111" s="104" t="s">
        <v>125</v>
      </c>
      <c r="C111" s="99">
        <v>0.25</v>
      </c>
      <c r="D111" s="100">
        <v>0.5</v>
      </c>
      <c r="E111" s="101">
        <f t="shared" si="141"/>
        <v>0.25</v>
      </c>
      <c r="F111" s="100">
        <v>0.5</v>
      </c>
      <c r="G111" s="99">
        <v>0.58333333333333304</v>
      </c>
      <c r="H111" s="102">
        <f t="shared" si="142"/>
        <v>8.3333333333333398E-2</v>
      </c>
      <c r="I111" s="100"/>
      <c r="J111" s="100"/>
      <c r="K111" s="102">
        <f t="shared" si="143"/>
        <v>0</v>
      </c>
      <c r="L111" s="113">
        <f t="shared" si="144"/>
        <v>0.33333333333333298</v>
      </c>
    </row>
    <row r="112" spans="1:13">
      <c r="A112" s="108"/>
      <c r="B112" s="98"/>
      <c r="C112" s="109"/>
      <c r="D112" s="109"/>
      <c r="E112" s="110">
        <f>SUM(E98:E111)</f>
        <v>2.1666666666666701</v>
      </c>
      <c r="F112" s="111"/>
      <c r="G112" s="111"/>
      <c r="H112" s="110">
        <f>SUM(H98:H111)</f>
        <v>1.1666666666666701</v>
      </c>
      <c r="I112" s="109"/>
      <c r="J112" s="109"/>
      <c r="K112" s="110">
        <f>SUM(K98:K111)</f>
        <v>1.3333333333333299</v>
      </c>
      <c r="L112" s="110">
        <f>SUM(L98:L111)</f>
        <v>4.6666666666666696</v>
      </c>
    </row>
    <row r="113" spans="1:13">
      <c r="C113" s="94" t="str">
        <f>+C95</f>
        <v>CUISINE RESTO</v>
      </c>
      <c r="G113" s="5" t="s">
        <v>38</v>
      </c>
      <c r="H113" s="6">
        <f>+H95+1</f>
        <v>46250</v>
      </c>
    </row>
    <row r="114" spans="1:13">
      <c r="C114" s="172" t="s">
        <v>3</v>
      </c>
      <c r="D114" s="172"/>
      <c r="E114" s="172"/>
      <c r="F114" s="173" t="s">
        <v>4</v>
      </c>
      <c r="G114" s="173"/>
      <c r="H114" s="173"/>
      <c r="I114" s="174" t="s">
        <v>5</v>
      </c>
      <c r="J114" s="174"/>
      <c r="K114" s="174"/>
    </row>
    <row r="115" spans="1:13">
      <c r="B115" s="95" t="s">
        <v>6</v>
      </c>
      <c r="C115" s="96" t="s">
        <v>7</v>
      </c>
      <c r="D115" s="96" t="s">
        <v>8</v>
      </c>
      <c r="E115" s="96" t="s">
        <v>9</v>
      </c>
      <c r="F115" s="97" t="s">
        <v>7</v>
      </c>
      <c r="G115" s="97" t="s">
        <v>8</v>
      </c>
      <c r="H115" s="97" t="s">
        <v>9</v>
      </c>
      <c r="I115" s="112" t="s">
        <v>7</v>
      </c>
      <c r="J115" s="112" t="s">
        <v>8</v>
      </c>
      <c r="K115" s="112" t="s">
        <v>9</v>
      </c>
      <c r="L115" s="95" t="s">
        <v>10</v>
      </c>
    </row>
    <row r="116" spans="1:13">
      <c r="A116" s="93" t="s">
        <v>105</v>
      </c>
      <c r="B116" s="98" t="s">
        <v>106</v>
      </c>
      <c r="C116" s="100"/>
      <c r="D116" s="100"/>
      <c r="E116" s="101">
        <f t="shared" ref="E116" si="145">IF(D116&gt;C116,D116-C116,C116-D116)</f>
        <v>0</v>
      </c>
      <c r="F116" s="99">
        <v>0.58333333333333304</v>
      </c>
      <c r="G116" s="100">
        <v>0.75</v>
      </c>
      <c r="H116" s="102">
        <f t="shared" ref="H116" si="146">IF(G116&gt;F116,G116-F116,F116-G116)</f>
        <v>0.16666666666666699</v>
      </c>
      <c r="I116" s="99">
        <v>0.75</v>
      </c>
      <c r="J116" s="99">
        <v>0.91666666666666696</v>
      </c>
      <c r="K116" s="102">
        <f t="shared" ref="K116" si="147">IF(J116&gt;I116,J116-I116,I116-J116)</f>
        <v>0.16666666666666699</v>
      </c>
      <c r="L116" s="113">
        <f t="shared" ref="L116" si="148">E116+H116+K116</f>
        <v>0.33333333333333298</v>
      </c>
    </row>
    <row r="117" spans="1:13" hidden="1">
      <c r="A117" s="93" t="s">
        <v>107</v>
      </c>
      <c r="B117" s="103" t="s">
        <v>108</v>
      </c>
      <c r="C117" s="99">
        <v>0.25</v>
      </c>
      <c r="D117" s="100">
        <v>0.5</v>
      </c>
      <c r="E117" s="101">
        <f t="shared" ref="E117:E118" si="149">IF(D117&gt;C117,D117-C117,C117-D117)</f>
        <v>0.25</v>
      </c>
      <c r="F117" s="100">
        <v>0.5</v>
      </c>
      <c r="G117" s="99">
        <v>0.58333333333333304</v>
      </c>
      <c r="H117" s="102">
        <f t="shared" ref="H117:H118" si="150">IF(G117&gt;F117,G117-F117,F117-G117)</f>
        <v>8.3333333333333398E-2</v>
      </c>
      <c r="I117" s="100"/>
      <c r="J117" s="100"/>
      <c r="K117" s="102">
        <f t="shared" ref="K117:K118" si="151">IF(J117&gt;I117,J117-I117,I117-J117)</f>
        <v>0</v>
      </c>
      <c r="L117" s="113">
        <f t="shared" ref="L117:L118" si="152">E117+H117+K117</f>
        <v>0.33333333333333298</v>
      </c>
    </row>
    <row r="118" spans="1:13">
      <c r="A118" s="93" t="s">
        <v>109</v>
      </c>
      <c r="B118" s="104" t="s">
        <v>70</v>
      </c>
      <c r="C118" s="100"/>
      <c r="D118" s="100"/>
      <c r="E118" s="101">
        <f t="shared" si="149"/>
        <v>0</v>
      </c>
      <c r="F118" s="99">
        <v>0.58333333333333304</v>
      </c>
      <c r="G118" s="100">
        <v>0.75</v>
      </c>
      <c r="H118" s="102">
        <f t="shared" si="150"/>
        <v>0.16666666666666699</v>
      </c>
      <c r="I118" s="99">
        <v>0.75</v>
      </c>
      <c r="J118" s="99">
        <v>0.91666666666666696</v>
      </c>
      <c r="K118" s="102">
        <f t="shared" si="151"/>
        <v>0.16666666666666699</v>
      </c>
      <c r="L118" s="113">
        <f t="shared" si="152"/>
        <v>0.33333333333333298</v>
      </c>
    </row>
    <row r="119" spans="1:13">
      <c r="A119" s="93" t="s">
        <v>107</v>
      </c>
      <c r="B119" s="103" t="s">
        <v>108</v>
      </c>
      <c r="C119" s="99">
        <v>0.25</v>
      </c>
      <c r="D119" s="100">
        <v>0.5</v>
      </c>
      <c r="E119" s="101">
        <f t="shared" ref="E119" si="153">IF(D119&gt;C119,D119-C119,C119-D119)</f>
        <v>0.25</v>
      </c>
      <c r="F119" s="100">
        <v>0.5</v>
      </c>
      <c r="G119" s="99">
        <v>0.58333333333333304</v>
      </c>
      <c r="H119" s="102">
        <f t="shared" ref="H119" si="154">IF(G119&gt;F119,G119-F119,F119-G119)</f>
        <v>8.3333333333333398E-2</v>
      </c>
      <c r="I119" s="100"/>
      <c r="J119" s="100"/>
      <c r="K119" s="102">
        <f t="shared" ref="K119" si="155">IF(J119&gt;I119,J119-I119,I119-J119)</f>
        <v>0</v>
      </c>
      <c r="L119" s="113">
        <f t="shared" ref="L119" si="156">E119+H119+K119</f>
        <v>0.33333333333333298</v>
      </c>
    </row>
    <row r="120" spans="1:13">
      <c r="A120" s="93" t="s">
        <v>110</v>
      </c>
      <c r="B120" s="103" t="s">
        <v>111</v>
      </c>
      <c r="C120" s="99">
        <v>0.25</v>
      </c>
      <c r="D120" s="100">
        <v>0.5</v>
      </c>
      <c r="E120" s="101">
        <f t="shared" ref="E120:E123" si="157">IF(D120&gt;C120,D120-C120,C120-D120)</f>
        <v>0.25</v>
      </c>
      <c r="F120" s="100">
        <v>0.5</v>
      </c>
      <c r="G120" s="99">
        <v>0.58333333333333304</v>
      </c>
      <c r="H120" s="102">
        <f t="shared" ref="H120:H123" si="158">IF(G120&gt;F120,G120-F120,F120-G120)</f>
        <v>8.3333333333333398E-2</v>
      </c>
      <c r="I120" s="100"/>
      <c r="J120" s="100"/>
      <c r="K120" s="102">
        <f t="shared" ref="K120:K123" si="159">IF(J120&gt;I120,J120-I120,I120-J120)</f>
        <v>0</v>
      </c>
      <c r="L120" s="113">
        <f t="shared" ref="L120:L123" si="160">E120+H120+K120</f>
        <v>0.33333333333333298</v>
      </c>
    </row>
    <row r="121" spans="1:13">
      <c r="A121" s="93" t="s">
        <v>112</v>
      </c>
      <c r="B121" s="98" t="s">
        <v>113</v>
      </c>
      <c r="C121" s="100"/>
      <c r="D121" s="100"/>
      <c r="E121" s="101">
        <f t="shared" si="157"/>
        <v>0</v>
      </c>
      <c r="F121" s="99">
        <v>0.58333333333333304</v>
      </c>
      <c r="G121" s="100">
        <v>0.75</v>
      </c>
      <c r="H121" s="102">
        <f t="shared" si="158"/>
        <v>0.16666666666666699</v>
      </c>
      <c r="I121" s="99">
        <v>0.75</v>
      </c>
      <c r="J121" s="99">
        <v>0.91666666666666696</v>
      </c>
      <c r="K121" s="102">
        <f t="shared" si="159"/>
        <v>0.16666666666666699</v>
      </c>
      <c r="L121" s="113">
        <f t="shared" si="160"/>
        <v>0.33333333333333298</v>
      </c>
    </row>
    <row r="122" spans="1:13">
      <c r="A122" s="93" t="s">
        <v>114</v>
      </c>
      <c r="B122" s="103" t="s">
        <v>115</v>
      </c>
      <c r="C122" s="99">
        <v>0.41666666666666702</v>
      </c>
      <c r="D122" s="100">
        <v>0.58333333333333304</v>
      </c>
      <c r="E122" s="101">
        <f t="shared" si="157"/>
        <v>0.16666666666666699</v>
      </c>
      <c r="F122" s="100"/>
      <c r="G122" s="99"/>
      <c r="H122" s="102">
        <f t="shared" si="158"/>
        <v>0</v>
      </c>
      <c r="I122" s="99">
        <v>0.75</v>
      </c>
      <c r="J122" s="99">
        <v>0.91666666666666696</v>
      </c>
      <c r="K122" s="102">
        <f t="shared" si="159"/>
        <v>0.16666666666666699</v>
      </c>
      <c r="L122" s="113">
        <f t="shared" si="160"/>
        <v>0.33333333333333298</v>
      </c>
    </row>
    <row r="123" spans="1:13">
      <c r="A123" s="93" t="s">
        <v>116</v>
      </c>
      <c r="B123" s="98" t="s">
        <v>117</v>
      </c>
      <c r="C123" s="99">
        <v>0.41666666666666702</v>
      </c>
      <c r="D123" s="100">
        <v>0.58333333333333304</v>
      </c>
      <c r="E123" s="101">
        <f t="shared" si="157"/>
        <v>0.16666666666666699</v>
      </c>
      <c r="F123" s="100"/>
      <c r="G123" s="99"/>
      <c r="H123" s="102">
        <f t="shared" si="158"/>
        <v>0</v>
      </c>
      <c r="I123" s="99">
        <v>0.75</v>
      </c>
      <c r="J123" s="99">
        <v>0.91666666666666696</v>
      </c>
      <c r="K123" s="102">
        <f t="shared" si="159"/>
        <v>0.16666666666666699</v>
      </c>
      <c r="L123" s="113">
        <f t="shared" si="160"/>
        <v>0.33333333333333298</v>
      </c>
    </row>
    <row r="124" spans="1:13" s="90" customFormat="1">
      <c r="A124" s="93" t="s">
        <v>26</v>
      </c>
      <c r="B124" s="98" t="s">
        <v>27</v>
      </c>
      <c r="C124" s="99">
        <v>0.25</v>
      </c>
      <c r="D124" s="100">
        <v>0.5</v>
      </c>
      <c r="E124" s="101">
        <f t="shared" ref="E124:E129" si="161">IF(D124&gt;C124,D124-C124,C124-D124)</f>
        <v>0.25</v>
      </c>
      <c r="F124" s="100">
        <v>0.5</v>
      </c>
      <c r="G124" s="99">
        <v>0.58333333333333304</v>
      </c>
      <c r="H124" s="102">
        <f t="shared" ref="H124:H129" si="162">IF(G124&gt;F124,G124-F124,F124-G124)</f>
        <v>8.3333333333333398E-2</v>
      </c>
      <c r="I124" s="100"/>
      <c r="J124" s="100"/>
      <c r="K124" s="102">
        <f t="shared" ref="K124:K129" si="163">IF(J124&gt;I124,J124-I124,I124-J124)</f>
        <v>0</v>
      </c>
      <c r="L124" s="113">
        <f t="shared" ref="L124:L129" si="164">E124+H124+K124</f>
        <v>0.33333333333333298</v>
      </c>
      <c r="M124" s="92"/>
    </row>
    <row r="125" spans="1:13">
      <c r="A125" s="93" t="s">
        <v>118</v>
      </c>
      <c r="B125" s="104" t="s">
        <v>119</v>
      </c>
      <c r="C125" s="99">
        <v>0.41666666666666702</v>
      </c>
      <c r="D125" s="100">
        <v>0.58333333333333304</v>
      </c>
      <c r="E125" s="101">
        <f t="shared" ref="E125" si="165">IF(D125&gt;C125,D125-C125,C125-D125)</f>
        <v>0.16666666666666699</v>
      </c>
      <c r="F125" s="100"/>
      <c r="G125" s="99"/>
      <c r="H125" s="102">
        <f t="shared" ref="H125" si="166">IF(G125&gt;F125,G125-F125,F125-G125)</f>
        <v>0</v>
      </c>
      <c r="I125" s="99">
        <v>0.75</v>
      </c>
      <c r="J125" s="99">
        <v>0.91666666666666696</v>
      </c>
      <c r="K125" s="102">
        <f t="shared" ref="K125" si="167">IF(J125&gt;I125,J125-I125,I125-J125)</f>
        <v>0.16666666666666699</v>
      </c>
      <c r="L125" s="113">
        <f t="shared" ref="L125" si="168">E125+H125+K125</f>
        <v>0.33333333333333298</v>
      </c>
    </row>
    <row r="126" spans="1:13">
      <c r="A126" s="93" t="s">
        <v>120</v>
      </c>
      <c r="B126" s="104" t="s">
        <v>121</v>
      </c>
      <c r="C126" s="99">
        <v>0.25</v>
      </c>
      <c r="D126" s="100">
        <v>0.5</v>
      </c>
      <c r="E126" s="101">
        <f t="shared" ref="E126" si="169">IF(D126&gt;C126,D126-C126,C126-D126)</f>
        <v>0.25</v>
      </c>
      <c r="F126" s="100">
        <v>0.5</v>
      </c>
      <c r="G126" s="99">
        <v>0.58333333333333304</v>
      </c>
      <c r="H126" s="102">
        <f t="shared" ref="H126" si="170">IF(G126&gt;F126,G126-F126,F126-G126)</f>
        <v>8.3333333333333398E-2</v>
      </c>
      <c r="I126" s="100"/>
      <c r="J126" s="100"/>
      <c r="K126" s="102">
        <f t="shared" ref="K126" si="171">IF(J126&gt;I126,J126-I126,I126-J126)</f>
        <v>0</v>
      </c>
      <c r="L126" s="113">
        <f t="shared" ref="L126" si="172">E126+H126+K126</f>
        <v>0.33333333333333298</v>
      </c>
      <c r="M126" s="108"/>
    </row>
    <row r="127" spans="1:13">
      <c r="A127" s="93" t="s">
        <v>122</v>
      </c>
      <c r="B127" s="104" t="s">
        <v>123</v>
      </c>
      <c r="C127" s="99">
        <v>0.41666666666666702</v>
      </c>
      <c r="D127" s="100">
        <v>0.58333333333333304</v>
      </c>
      <c r="E127" s="101">
        <f t="shared" si="161"/>
        <v>0.16666666666666699</v>
      </c>
      <c r="F127" s="100"/>
      <c r="G127" s="99"/>
      <c r="H127" s="102">
        <f t="shared" si="162"/>
        <v>0</v>
      </c>
      <c r="I127" s="99">
        <v>0.75</v>
      </c>
      <c r="J127" s="99">
        <v>0.91666666666666696</v>
      </c>
      <c r="K127" s="102">
        <f t="shared" si="163"/>
        <v>0.16666666666666699</v>
      </c>
      <c r="L127" s="113">
        <f t="shared" si="164"/>
        <v>0.33333333333333298</v>
      </c>
    </row>
    <row r="128" spans="1:13">
      <c r="A128" s="93" t="s">
        <v>30</v>
      </c>
      <c r="B128" s="104" t="s">
        <v>124</v>
      </c>
      <c r="C128" s="99">
        <v>0.41666666666666702</v>
      </c>
      <c r="D128" s="100">
        <v>0.58333333333333304</v>
      </c>
      <c r="E128" s="101">
        <f t="shared" si="161"/>
        <v>0.16666666666666699</v>
      </c>
      <c r="F128" s="100"/>
      <c r="G128" s="99"/>
      <c r="H128" s="102">
        <f t="shared" si="162"/>
        <v>0</v>
      </c>
      <c r="I128" s="99">
        <v>0.75</v>
      </c>
      <c r="J128" s="99">
        <v>0.91666666666666696</v>
      </c>
      <c r="K128" s="102">
        <f t="shared" si="163"/>
        <v>0.16666666666666699</v>
      </c>
      <c r="L128" s="113">
        <f t="shared" si="164"/>
        <v>0.33333333333333298</v>
      </c>
    </row>
    <row r="129" spans="1:13">
      <c r="A129" s="93" t="s">
        <v>30</v>
      </c>
      <c r="B129" s="104" t="s">
        <v>125</v>
      </c>
      <c r="C129" s="99">
        <v>0.25</v>
      </c>
      <c r="D129" s="100">
        <v>0.5</v>
      </c>
      <c r="E129" s="101">
        <f t="shared" si="161"/>
        <v>0.25</v>
      </c>
      <c r="F129" s="100">
        <v>0.5</v>
      </c>
      <c r="G129" s="99">
        <v>0.58333333333333304</v>
      </c>
      <c r="H129" s="102">
        <f t="shared" si="162"/>
        <v>8.3333333333333398E-2</v>
      </c>
      <c r="I129" s="100"/>
      <c r="J129" s="100"/>
      <c r="K129" s="102">
        <f t="shared" si="163"/>
        <v>0</v>
      </c>
      <c r="L129" s="113">
        <f t="shared" si="164"/>
        <v>0.33333333333333298</v>
      </c>
      <c r="M129" s="108"/>
    </row>
    <row r="130" spans="1:13">
      <c r="A130" s="108"/>
      <c r="B130" s="98"/>
      <c r="C130" s="109"/>
      <c r="D130" s="109"/>
      <c r="E130" s="110">
        <f>SUM(E116:E129)</f>
        <v>2.3333333333333299</v>
      </c>
      <c r="F130" s="111"/>
      <c r="G130" s="111"/>
      <c r="H130" s="110">
        <f>SUM(H116:H129)</f>
        <v>1</v>
      </c>
      <c r="I130" s="109"/>
      <c r="J130" s="109"/>
      <c r="K130" s="110">
        <f>SUM(K116:K129)</f>
        <v>1.3333333333333299</v>
      </c>
      <c r="L130" s="110">
        <f>SUM(L116:L129)</f>
        <v>4.6666666666666696</v>
      </c>
    </row>
    <row r="131" spans="1:13">
      <c r="C131" s="94" t="str">
        <f>+C113</f>
        <v>CUISINE RESTO</v>
      </c>
      <c r="G131" s="5" t="s">
        <v>39</v>
      </c>
      <c r="H131" s="6">
        <f>+H113+1</f>
        <v>46251</v>
      </c>
    </row>
    <row r="132" spans="1:13">
      <c r="C132" s="172" t="s">
        <v>3</v>
      </c>
      <c r="D132" s="172"/>
      <c r="E132" s="172"/>
      <c r="F132" s="173" t="s">
        <v>4</v>
      </c>
      <c r="G132" s="173"/>
      <c r="H132" s="173"/>
      <c r="I132" s="174" t="s">
        <v>5</v>
      </c>
      <c r="J132" s="174"/>
      <c r="K132" s="174"/>
    </row>
    <row r="133" spans="1:13">
      <c r="B133" s="95" t="s">
        <v>6</v>
      </c>
      <c r="C133" s="96" t="s">
        <v>7</v>
      </c>
      <c r="D133" s="96" t="s">
        <v>8</v>
      </c>
      <c r="E133" s="96" t="s">
        <v>9</v>
      </c>
      <c r="F133" s="97" t="s">
        <v>7</v>
      </c>
      <c r="G133" s="97" t="s">
        <v>8</v>
      </c>
      <c r="H133" s="97" t="s">
        <v>9</v>
      </c>
      <c r="I133" s="112" t="s">
        <v>7</v>
      </c>
      <c r="J133" s="112" t="s">
        <v>8</v>
      </c>
      <c r="K133" s="112" t="s">
        <v>9</v>
      </c>
      <c r="L133" s="95" t="s">
        <v>10</v>
      </c>
    </row>
    <row r="134" spans="1:13">
      <c r="A134" s="93" t="s">
        <v>105</v>
      </c>
      <c r="B134" s="98" t="s">
        <v>106</v>
      </c>
      <c r="C134" s="99">
        <v>0.41666666666666702</v>
      </c>
      <c r="D134" s="100">
        <v>0.58333333333333304</v>
      </c>
      <c r="E134" s="101">
        <f t="shared" ref="E134" si="173">IF(D134&gt;C134,D134-C134,C134-D134)</f>
        <v>0.16666666666666699</v>
      </c>
      <c r="F134" s="100"/>
      <c r="G134" s="99"/>
      <c r="H134" s="102">
        <f t="shared" ref="H134" si="174">IF(G134&gt;F134,G134-F134,F134-G134)</f>
        <v>0</v>
      </c>
      <c r="I134" s="99">
        <v>0.75</v>
      </c>
      <c r="J134" s="99">
        <v>0.91666666666666696</v>
      </c>
      <c r="K134" s="102">
        <f t="shared" ref="K134" si="175">IF(J134&gt;I134,J134-I134,I134-J134)</f>
        <v>0.16666666666666699</v>
      </c>
      <c r="L134" s="113">
        <f t="shared" ref="L134" si="176">E134+H134+K134</f>
        <v>0.33333333333333298</v>
      </c>
    </row>
    <row r="135" spans="1:13">
      <c r="A135" s="93" t="s">
        <v>107</v>
      </c>
      <c r="B135" s="103" t="s">
        <v>108</v>
      </c>
      <c r="C135" s="99">
        <v>0.25</v>
      </c>
      <c r="D135" s="100">
        <v>0.5</v>
      </c>
      <c r="E135" s="101">
        <f t="shared" ref="E135:E136" si="177">IF(D135&gt;C135,D135-C135,C135-D135)</f>
        <v>0.25</v>
      </c>
      <c r="F135" s="100">
        <v>0.5</v>
      </c>
      <c r="G135" s="99">
        <v>0.58333333333333304</v>
      </c>
      <c r="H135" s="102">
        <f t="shared" ref="H135:H136" si="178">IF(G135&gt;F135,G135-F135,F135-G135)</f>
        <v>8.3333333333333398E-2</v>
      </c>
      <c r="I135" s="100"/>
      <c r="J135" s="100"/>
      <c r="K135" s="102">
        <f t="shared" ref="K135:K136" si="179">IF(J135&gt;I135,J135-I135,I135-J135)</f>
        <v>0</v>
      </c>
      <c r="L135" s="113">
        <f t="shared" ref="L135:L136" si="180">E135+H135+K135</f>
        <v>0.33333333333333298</v>
      </c>
    </row>
    <row r="136" spans="1:13">
      <c r="A136" s="93" t="s">
        <v>109</v>
      </c>
      <c r="B136" s="104" t="s">
        <v>70</v>
      </c>
      <c r="C136" s="100"/>
      <c r="D136" s="100"/>
      <c r="E136" s="101">
        <f t="shared" si="177"/>
        <v>0</v>
      </c>
      <c r="F136" s="99">
        <v>0.58333333333333304</v>
      </c>
      <c r="G136" s="100">
        <v>0.75</v>
      </c>
      <c r="H136" s="102">
        <f t="shared" si="178"/>
        <v>0.16666666666666699</v>
      </c>
      <c r="I136" s="99">
        <v>0.75</v>
      </c>
      <c r="J136" s="99">
        <v>0.91666666666666696</v>
      </c>
      <c r="K136" s="102">
        <f t="shared" si="179"/>
        <v>0.16666666666666699</v>
      </c>
      <c r="L136" s="113">
        <f t="shared" si="180"/>
        <v>0.33333333333333298</v>
      </c>
    </row>
    <row r="137" spans="1:13">
      <c r="A137" s="93" t="s">
        <v>110</v>
      </c>
      <c r="B137" s="98" t="s">
        <v>111</v>
      </c>
      <c r="C137" s="105"/>
      <c r="D137" s="105"/>
      <c r="E137" s="106">
        <f t="shared" ref="E137:E139" si="181">IF(D137&gt;C137,D137-C137,C137-D137)</f>
        <v>0</v>
      </c>
      <c r="F137" s="105"/>
      <c r="G137" s="105"/>
      <c r="H137" s="107">
        <f t="shared" ref="H137:H139" si="182">IF(G137&gt;F137,G137-F137,F137-G137)</f>
        <v>0</v>
      </c>
      <c r="I137" s="105"/>
      <c r="J137" s="105"/>
      <c r="K137" s="107">
        <f t="shared" ref="K137:K139" si="183">IF(J137&gt;I137,J137-I137,I137-J137)</f>
        <v>0</v>
      </c>
      <c r="L137" s="114">
        <f t="shared" ref="L137:L139" si="184">E137+H137+K137</f>
        <v>0</v>
      </c>
      <c r="M137" s="115" t="s">
        <v>25</v>
      </c>
    </row>
    <row r="138" spans="1:13">
      <c r="A138" s="93" t="s">
        <v>112</v>
      </c>
      <c r="B138" s="98" t="s">
        <v>113</v>
      </c>
      <c r="C138" s="105"/>
      <c r="D138" s="105"/>
      <c r="E138" s="106">
        <f t="shared" si="181"/>
        <v>0</v>
      </c>
      <c r="F138" s="105"/>
      <c r="G138" s="105"/>
      <c r="H138" s="107">
        <f t="shared" si="182"/>
        <v>0</v>
      </c>
      <c r="I138" s="105"/>
      <c r="J138" s="105"/>
      <c r="K138" s="107">
        <f t="shared" si="183"/>
        <v>0</v>
      </c>
      <c r="L138" s="114">
        <f t="shared" si="184"/>
        <v>0</v>
      </c>
      <c r="M138" s="115" t="s">
        <v>25</v>
      </c>
    </row>
    <row r="139" spans="1:13">
      <c r="A139" s="93" t="s">
        <v>114</v>
      </c>
      <c r="B139" s="103" t="s">
        <v>115</v>
      </c>
      <c r="C139" s="99">
        <v>0.41666666666666702</v>
      </c>
      <c r="D139" s="100">
        <v>0.58333333333333304</v>
      </c>
      <c r="E139" s="101">
        <f t="shared" si="181"/>
        <v>0.16666666666666699</v>
      </c>
      <c r="F139" s="100"/>
      <c r="G139" s="99"/>
      <c r="H139" s="102">
        <f t="shared" si="182"/>
        <v>0</v>
      </c>
      <c r="I139" s="99">
        <v>0.75</v>
      </c>
      <c r="J139" s="99">
        <v>0.91666666666666696</v>
      </c>
      <c r="K139" s="102">
        <f t="shared" si="183"/>
        <v>0.16666666666666699</v>
      </c>
      <c r="L139" s="113">
        <f t="shared" si="184"/>
        <v>0.33333333333333298</v>
      </c>
    </row>
    <row r="140" spans="1:13">
      <c r="A140" s="93" t="s">
        <v>116</v>
      </c>
      <c r="B140" s="98" t="s">
        <v>117</v>
      </c>
      <c r="C140" s="105"/>
      <c r="D140" s="105"/>
      <c r="E140" s="106">
        <f t="shared" ref="E140" si="185">IF(D140&gt;C140,D140-C140,C140-D140)</f>
        <v>0</v>
      </c>
      <c r="F140" s="105"/>
      <c r="G140" s="105"/>
      <c r="H140" s="107">
        <f t="shared" ref="H140" si="186">IF(G140&gt;F140,G140-F140,F140-G140)</f>
        <v>0</v>
      </c>
      <c r="I140" s="105"/>
      <c r="J140" s="105"/>
      <c r="K140" s="107">
        <f t="shared" ref="K140" si="187">IF(J140&gt;I140,J140-I140,I140-J140)</f>
        <v>0</v>
      </c>
      <c r="L140" s="114">
        <f t="shared" ref="L140" si="188">E140+H140+K140</f>
        <v>0</v>
      </c>
      <c r="M140" s="115" t="s">
        <v>25</v>
      </c>
    </row>
    <row r="141" spans="1:13" s="90" customFormat="1">
      <c r="A141" s="93" t="s">
        <v>26</v>
      </c>
      <c r="B141" s="103" t="s">
        <v>27</v>
      </c>
      <c r="C141" s="99">
        <v>0.25</v>
      </c>
      <c r="D141" s="100">
        <v>0.5</v>
      </c>
      <c r="E141" s="101">
        <f t="shared" ref="E141:E142" si="189">IF(D141&gt;C141,D141-C141,C141-D141)</f>
        <v>0.25</v>
      </c>
      <c r="F141" s="100">
        <v>0.5</v>
      </c>
      <c r="G141" s="99">
        <v>0.58333333333333304</v>
      </c>
      <c r="H141" s="102">
        <f t="shared" ref="H141:H142" si="190">IF(G141&gt;F141,G141-F141,F141-G141)</f>
        <v>8.3333333333333398E-2</v>
      </c>
      <c r="I141" s="100"/>
      <c r="J141" s="100"/>
      <c r="K141" s="102">
        <f t="shared" ref="K141:K142" si="191">IF(J141&gt;I141,J141-I141,I141-J141)</f>
        <v>0</v>
      </c>
      <c r="L141" s="113">
        <f t="shared" ref="L141:L142" si="192">E141+H141+K141</f>
        <v>0.33333333333333298</v>
      </c>
      <c r="M141" s="92"/>
    </row>
    <row r="142" spans="1:13">
      <c r="A142" s="93" t="s">
        <v>118</v>
      </c>
      <c r="B142" s="104" t="s">
        <v>119</v>
      </c>
      <c r="C142" s="99">
        <v>0.41666666666666702</v>
      </c>
      <c r="D142" s="100">
        <v>0.58333333333333304</v>
      </c>
      <c r="E142" s="101">
        <f t="shared" si="189"/>
        <v>0.16666666666666699</v>
      </c>
      <c r="F142" s="100"/>
      <c r="G142" s="99"/>
      <c r="H142" s="102">
        <f t="shared" si="190"/>
        <v>0</v>
      </c>
      <c r="I142" s="99">
        <v>0.75</v>
      </c>
      <c r="J142" s="99">
        <v>0.91666666666666696</v>
      </c>
      <c r="K142" s="102">
        <f t="shared" si="191"/>
        <v>0.16666666666666699</v>
      </c>
      <c r="L142" s="113">
        <f t="shared" si="192"/>
        <v>0.33333333333333298</v>
      </c>
    </row>
    <row r="143" spans="1:13">
      <c r="A143" s="93" t="s">
        <v>120</v>
      </c>
      <c r="B143" s="98" t="s">
        <v>121</v>
      </c>
      <c r="C143" s="99">
        <v>0.25</v>
      </c>
      <c r="D143" s="100">
        <v>0.5</v>
      </c>
      <c r="E143" s="101">
        <f t="shared" ref="E143" si="193">IF(D143&gt;C143,D143-C143,C143-D143)</f>
        <v>0.25</v>
      </c>
      <c r="F143" s="100">
        <v>0.5</v>
      </c>
      <c r="G143" s="99">
        <v>0.58333333333333304</v>
      </c>
      <c r="H143" s="102">
        <f t="shared" ref="H143" si="194">IF(G143&gt;F143,G143-F143,F143-G143)</f>
        <v>8.3333333333333398E-2</v>
      </c>
      <c r="I143" s="100"/>
      <c r="J143" s="100"/>
      <c r="K143" s="102">
        <f t="shared" ref="K143" si="195">IF(J143&gt;I143,J143-I143,I143-J143)</f>
        <v>0</v>
      </c>
      <c r="L143" s="113">
        <f t="shared" ref="L143" si="196">E143+H143+K143</f>
        <v>0.33333333333333298</v>
      </c>
    </row>
    <row r="144" spans="1:13">
      <c r="A144" s="93" t="s">
        <v>122</v>
      </c>
      <c r="B144" s="98" t="s">
        <v>123</v>
      </c>
      <c r="C144" s="100"/>
      <c r="D144" s="100"/>
      <c r="E144" s="101">
        <f t="shared" ref="E144:E145" si="197">IF(D144&gt;C144,D144-C144,C144-D144)</f>
        <v>0</v>
      </c>
      <c r="F144" s="99">
        <v>0.58333333333333304</v>
      </c>
      <c r="G144" s="100">
        <v>0.75</v>
      </c>
      <c r="H144" s="102">
        <f t="shared" ref="H144:H145" si="198">IF(G144&gt;F144,G144-F144,F144-G144)</f>
        <v>0.16666666666666699</v>
      </c>
      <c r="I144" s="99">
        <v>0.75</v>
      </c>
      <c r="J144" s="99">
        <v>0.91666666666666696</v>
      </c>
      <c r="K144" s="102">
        <f t="shared" ref="K144:K145" si="199">IF(J144&gt;I144,J144-I144,I144-J144)</f>
        <v>0.16666666666666699</v>
      </c>
      <c r="L144" s="113">
        <f t="shared" ref="L144:L145" si="200">E144+H144+K144</f>
        <v>0.33333333333333298</v>
      </c>
    </row>
    <row r="145" spans="1:12">
      <c r="A145" s="93" t="s">
        <v>30</v>
      </c>
      <c r="B145" s="104" t="s">
        <v>124</v>
      </c>
      <c r="C145" s="99">
        <v>0.41666666666666702</v>
      </c>
      <c r="D145" s="100">
        <v>0.58333333333333304</v>
      </c>
      <c r="E145" s="101">
        <f t="shared" si="197"/>
        <v>0.16666666666666699</v>
      </c>
      <c r="F145" s="100"/>
      <c r="G145" s="99"/>
      <c r="H145" s="102">
        <f t="shared" si="198"/>
        <v>0</v>
      </c>
      <c r="I145" s="99">
        <v>0.75</v>
      </c>
      <c r="J145" s="99">
        <v>0.91666666666666696</v>
      </c>
      <c r="K145" s="102">
        <f t="shared" si="199"/>
        <v>0.16666666666666699</v>
      </c>
      <c r="L145" s="113">
        <f t="shared" si="200"/>
        <v>0.33333333333333298</v>
      </c>
    </row>
    <row r="146" spans="1:12">
      <c r="A146" s="93" t="s">
        <v>30</v>
      </c>
      <c r="B146" s="104" t="s">
        <v>125</v>
      </c>
      <c r="C146" s="100"/>
      <c r="D146" s="100"/>
      <c r="E146" s="101">
        <f t="shared" ref="E146" si="201">IF(D146&gt;C146,D146-C146,C146-D146)</f>
        <v>0</v>
      </c>
      <c r="F146" s="99">
        <v>0.58333333333333304</v>
      </c>
      <c r="G146" s="100">
        <v>0.75</v>
      </c>
      <c r="H146" s="102">
        <f t="shared" ref="H146" si="202">IF(G146&gt;F146,G146-F146,F146-G146)</f>
        <v>0.16666666666666699</v>
      </c>
      <c r="I146" s="99">
        <v>0.75</v>
      </c>
      <c r="J146" s="99">
        <v>0.91666666666666696</v>
      </c>
      <c r="K146" s="102">
        <f t="shared" ref="K146" si="203">IF(J146&gt;I146,J146-I146,I146-J146)</f>
        <v>0.16666666666666699</v>
      </c>
      <c r="L146" s="113">
        <f t="shared" ref="L146" si="204">E146+H146+K146</f>
        <v>0.33333333333333298</v>
      </c>
    </row>
    <row r="147" spans="1:12">
      <c r="A147" s="108"/>
      <c r="B147" s="98"/>
      <c r="C147" s="109"/>
      <c r="D147" s="109"/>
      <c r="E147" s="110">
        <f>SUM(E134:E146)</f>
        <v>1.4166666666666701</v>
      </c>
      <c r="F147" s="111"/>
      <c r="G147" s="111"/>
      <c r="H147" s="110">
        <f>SUM(H134:H146)</f>
        <v>0.75</v>
      </c>
      <c r="I147" s="109"/>
      <c r="J147" s="109"/>
      <c r="K147" s="110">
        <f>SUM(K134:K146)</f>
        <v>1.1666666666666701</v>
      </c>
      <c r="L147" s="110">
        <f>SUM(L134:L146)</f>
        <v>3.3333333333333299</v>
      </c>
    </row>
    <row r="149" spans="1:12">
      <c r="B149" s="98" t="s">
        <v>106</v>
      </c>
      <c r="C149" s="116">
        <f>+L8+L26+L44+L62+L80+L98+L116</f>
        <v>2</v>
      </c>
    </row>
    <row r="150" spans="1:12">
      <c r="B150" s="98" t="s">
        <v>108</v>
      </c>
      <c r="C150" s="116">
        <f>+L9+L27+L45+L63+L81+L99+L117</f>
        <v>2</v>
      </c>
    </row>
    <row r="151" spans="1:12">
      <c r="B151" s="98" t="s">
        <v>70</v>
      </c>
      <c r="C151" s="116">
        <f>+L10+L28+L45+L64+L82+L101+L118</f>
        <v>2.3333333333333299</v>
      </c>
    </row>
    <row r="152" spans="1:12">
      <c r="B152" s="98" t="s">
        <v>111</v>
      </c>
      <c r="C152" s="116">
        <f>+L11+L29+L46+L65+L83+L102+L120</f>
        <v>1.6666666666666701</v>
      </c>
    </row>
    <row r="153" spans="1:12">
      <c r="B153" s="98" t="s">
        <v>113</v>
      </c>
      <c r="C153" s="116">
        <f>+L12+L30+L48+L67+L85+L103+L121</f>
        <v>2</v>
      </c>
    </row>
    <row r="154" spans="1:12">
      <c r="B154" s="98" t="s">
        <v>115</v>
      </c>
      <c r="C154" s="116">
        <f>+L13+L31+L49+L68+L86+L104+L122</f>
        <v>2</v>
      </c>
    </row>
    <row r="155" spans="1:12">
      <c r="B155" s="98" t="s">
        <v>117</v>
      </c>
      <c r="C155" s="116">
        <f>+L14+L32+L50+L69+L87+L105+L123</f>
        <v>2</v>
      </c>
    </row>
    <row r="156" spans="1:12">
      <c r="B156" s="98" t="s">
        <v>119</v>
      </c>
      <c r="C156" s="116">
        <f>+L15+L34+L52+L71+L89+L107+L125</f>
        <v>2</v>
      </c>
    </row>
    <row r="157" spans="1:12">
      <c r="B157" s="98" t="s">
        <v>121</v>
      </c>
      <c r="C157" s="116">
        <f>+L17+L35+L53+L72+L90+L108+L126</f>
        <v>2</v>
      </c>
    </row>
    <row r="158" spans="1:12">
      <c r="B158" s="98" t="s">
        <v>123</v>
      </c>
      <c r="C158" s="116">
        <f>+L18+L36+L54+L73+L91+L109+L127</f>
        <v>2</v>
      </c>
    </row>
  </sheetData>
  <mergeCells count="25">
    <mergeCell ref="C60:E60"/>
    <mergeCell ref="F60:H60"/>
    <mergeCell ref="I60:K60"/>
    <mergeCell ref="C6:E6"/>
    <mergeCell ref="F6:H6"/>
    <mergeCell ref="I6:K6"/>
    <mergeCell ref="C24:E24"/>
    <mergeCell ref="F24:H24"/>
    <mergeCell ref="I24:K24"/>
    <mergeCell ref="E2:I3"/>
    <mergeCell ref="C114:E114"/>
    <mergeCell ref="F114:H114"/>
    <mergeCell ref="I114:K114"/>
    <mergeCell ref="C132:E132"/>
    <mergeCell ref="F132:H132"/>
    <mergeCell ref="I132:K132"/>
    <mergeCell ref="C78:E78"/>
    <mergeCell ref="F78:H78"/>
    <mergeCell ref="I78:K78"/>
    <mergeCell ref="C96:E96"/>
    <mergeCell ref="F96:H96"/>
    <mergeCell ref="I96:K96"/>
    <mergeCell ref="C42:E42"/>
    <mergeCell ref="F42:H42"/>
    <mergeCell ref="I42:K42"/>
  </mergeCells>
  <pageMargins left="0.7" right="0.7" top="0.75" bottom="0.75" header="0.3" footer="0.3"/>
  <pageSetup paperSize="9" orientation="portrait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Q87"/>
  <sheetViews>
    <sheetView workbookViewId="0">
      <selection activeCell="J16" sqref="J16"/>
    </sheetView>
  </sheetViews>
  <sheetFormatPr defaultColWidth="11" defaultRowHeight="15"/>
  <cols>
    <col min="1" max="1" width="11.5703125" style="3"/>
  </cols>
  <sheetData>
    <row r="2" spans="1:13">
      <c r="E2" s="171" t="s">
        <v>126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127</v>
      </c>
      <c r="G5" s="5" t="s">
        <v>39</v>
      </c>
      <c r="H5" s="6">
        <f>+SECURITE!H5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32" customFormat="1">
      <c r="A8" s="86" t="s">
        <v>128</v>
      </c>
      <c r="B8" s="10" t="s">
        <v>46</v>
      </c>
      <c r="C8" s="41"/>
      <c r="D8" s="41"/>
      <c r="E8" s="41">
        <f>IF(D8&gt;C8,D8-C8,C8-D8)</f>
        <v>0</v>
      </c>
      <c r="F8" s="41"/>
      <c r="G8" s="41"/>
      <c r="H8" s="40">
        <f>IF(G8&gt;F8,G8-F8,F8-G8)</f>
        <v>0</v>
      </c>
      <c r="I8" s="41"/>
      <c r="J8" s="41"/>
      <c r="K8" s="41">
        <f>IF(J8&gt;I8,J8-I8,I8-J8)</f>
        <v>0</v>
      </c>
      <c r="L8" s="41">
        <f>E8+H8+K8</f>
        <v>0</v>
      </c>
      <c r="M8" s="71" t="s">
        <v>25</v>
      </c>
    </row>
    <row r="9" spans="1:13" s="70" customFormat="1">
      <c r="A9" s="87" t="s">
        <v>129</v>
      </c>
      <c r="B9" s="75" t="s">
        <v>130</v>
      </c>
      <c r="C9" s="74"/>
      <c r="D9" s="56"/>
      <c r="E9" s="56">
        <f>IF(D9&gt;C9,D9-C9,C9-D9)</f>
        <v>0</v>
      </c>
      <c r="F9" s="56">
        <v>0.58333333333333304</v>
      </c>
      <c r="G9" s="74">
        <v>0.75</v>
      </c>
      <c r="H9" s="54">
        <f>IF(G9&gt;F9,G9-F9,F9-G9)</f>
        <v>0.16666666666666699</v>
      </c>
      <c r="I9" s="56">
        <v>0.75</v>
      </c>
      <c r="J9" s="56">
        <v>0.91666666666666696</v>
      </c>
      <c r="K9" s="56">
        <f>IF(J9&gt;I9,J9-I9,I9-J9)</f>
        <v>0.16666666666666699</v>
      </c>
      <c r="L9" s="56">
        <f>E9+H9+K9</f>
        <v>0.33333333333333298</v>
      </c>
    </row>
    <row r="10" spans="1:13" s="70" customFormat="1">
      <c r="A10" s="87" t="s">
        <v>131</v>
      </c>
      <c r="B10" s="88" t="s">
        <v>132</v>
      </c>
      <c r="C10" s="56">
        <v>0.25</v>
      </c>
      <c r="D10" s="56">
        <v>0.5</v>
      </c>
      <c r="E10" s="56">
        <f t="shared" ref="E10:E11" si="0">IF(D10&gt;C10,D10-C10,C10-D10)</f>
        <v>0.25</v>
      </c>
      <c r="F10" s="74">
        <v>0.5</v>
      </c>
      <c r="G10" s="56">
        <v>0.58333333333333304</v>
      </c>
      <c r="H10" s="54">
        <f t="shared" ref="H10:H11" si="1">IF(G10&gt;F10,G10-F10,F10-G10)</f>
        <v>8.3333333333333398E-2</v>
      </c>
      <c r="I10" s="56"/>
      <c r="J10" s="74"/>
      <c r="K10" s="56">
        <f t="shared" ref="K10:K11" si="2">IF(J10&gt;I10,J10-I10,I10-J10)</f>
        <v>0</v>
      </c>
      <c r="L10" s="56">
        <f t="shared" ref="L10:L11" si="3">E10+H10+K10</f>
        <v>0.33333333333333298</v>
      </c>
    </row>
    <row r="11" spans="1:13" s="70" customFormat="1">
      <c r="A11" s="87" t="s">
        <v>133</v>
      </c>
      <c r="B11" s="88" t="s">
        <v>134</v>
      </c>
      <c r="C11" s="56">
        <v>0.25</v>
      </c>
      <c r="D11" s="56">
        <v>0.5</v>
      </c>
      <c r="E11" s="56">
        <f t="shared" si="0"/>
        <v>0.25</v>
      </c>
      <c r="F11" s="74">
        <v>0.5</v>
      </c>
      <c r="G11" s="56">
        <v>0.58333333333333304</v>
      </c>
      <c r="H11" s="54">
        <f t="shared" si="1"/>
        <v>8.3333333333333398E-2</v>
      </c>
      <c r="I11" s="56"/>
      <c r="J11" s="74"/>
      <c r="K11" s="56">
        <f t="shared" si="2"/>
        <v>0</v>
      </c>
      <c r="L11" s="56">
        <f t="shared" si="3"/>
        <v>0.33333333333333298</v>
      </c>
    </row>
    <row r="12" spans="1:13" s="70" customFormat="1">
      <c r="A12" s="87" t="s">
        <v>135</v>
      </c>
      <c r="B12" s="73" t="s">
        <v>136</v>
      </c>
      <c r="C12" s="74">
        <v>0.25</v>
      </c>
      <c r="D12" s="74">
        <v>0.41666666666666702</v>
      </c>
      <c r="E12" s="56">
        <f t="shared" ref="E12:E13" si="4">IF(D12&gt;C12,D12-C12,C12-D12)</f>
        <v>0.16666666666666699</v>
      </c>
      <c r="F12" s="56"/>
      <c r="G12" s="56"/>
      <c r="H12" s="54">
        <f t="shared" ref="H12:H13" si="5">IF(G12&gt;F12,G12-F12,F12-G12)</f>
        <v>0</v>
      </c>
      <c r="I12" s="56">
        <v>0.75</v>
      </c>
      <c r="J12" s="74">
        <v>0.91666666666666696</v>
      </c>
      <c r="K12" s="56">
        <f t="shared" ref="K12:K13" si="6">IF(J12&gt;I12,J12-I12,I12-J12)</f>
        <v>0.16666666666666699</v>
      </c>
      <c r="L12" s="56">
        <f t="shared" ref="L12:L13" si="7">E12+H12+K12</f>
        <v>0.33333333333333298</v>
      </c>
    </row>
    <row r="13" spans="1:13" s="70" customFormat="1">
      <c r="A13" s="87" t="s">
        <v>137</v>
      </c>
      <c r="B13" s="75" t="s">
        <v>138</v>
      </c>
      <c r="C13" s="74"/>
      <c r="D13" s="56"/>
      <c r="E13" s="56">
        <f t="shared" si="4"/>
        <v>0</v>
      </c>
      <c r="F13" s="56">
        <v>0.58333333333333304</v>
      </c>
      <c r="G13" s="74">
        <v>0.75</v>
      </c>
      <c r="H13" s="54">
        <f t="shared" si="5"/>
        <v>0.16666666666666699</v>
      </c>
      <c r="I13" s="56">
        <v>0.75</v>
      </c>
      <c r="J13" s="56">
        <v>0.91666666666666696</v>
      </c>
      <c r="K13" s="56">
        <f t="shared" si="6"/>
        <v>0.16666666666666699</v>
      </c>
      <c r="L13" s="56">
        <f t="shared" si="7"/>
        <v>0.33333333333333298</v>
      </c>
    </row>
    <row r="14" spans="1:13" s="2" customFormat="1">
      <c r="A14" s="5"/>
      <c r="E14" s="29">
        <f>SUM(E8:E13)</f>
        <v>0.66666666666666696</v>
      </c>
      <c r="H14" s="29">
        <f>SUM(H8:H13)</f>
        <v>0.5</v>
      </c>
      <c r="K14" s="29">
        <f>SUM(K8:K13)</f>
        <v>0.5</v>
      </c>
      <c r="L14" s="78">
        <f>SUM(L8:L13)</f>
        <v>1.6666666666666701</v>
      </c>
    </row>
    <row r="16" spans="1:13">
      <c r="C16" s="2" t="s">
        <v>127</v>
      </c>
      <c r="G16" s="5" t="s">
        <v>32</v>
      </c>
      <c r="H16" s="6">
        <f>+H5+1</f>
        <v>46245</v>
      </c>
    </row>
    <row r="17" spans="1:13">
      <c r="C17" s="168" t="s">
        <v>3</v>
      </c>
      <c r="D17" s="168"/>
      <c r="E17" s="168"/>
      <c r="F17" s="169" t="s">
        <v>4</v>
      </c>
      <c r="G17" s="169"/>
      <c r="H17" s="169"/>
      <c r="I17" s="170" t="s">
        <v>5</v>
      </c>
      <c r="J17" s="170"/>
      <c r="K17" s="170"/>
    </row>
    <row r="18" spans="1:13">
      <c r="B18" s="7" t="s">
        <v>6</v>
      </c>
      <c r="C18" s="8" t="s">
        <v>7</v>
      </c>
      <c r="D18" s="8" t="s">
        <v>8</v>
      </c>
      <c r="E18" s="8" t="s">
        <v>9</v>
      </c>
      <c r="F18" s="9" t="s">
        <v>7</v>
      </c>
      <c r="G18" s="9" t="s">
        <v>8</v>
      </c>
      <c r="H18" s="9" t="s">
        <v>9</v>
      </c>
      <c r="I18" s="16" t="s">
        <v>7</v>
      </c>
      <c r="J18" s="16" t="s">
        <v>8</v>
      </c>
      <c r="K18" s="16" t="s">
        <v>9</v>
      </c>
      <c r="L18" s="7" t="s">
        <v>10</v>
      </c>
    </row>
    <row r="19" spans="1:13" s="70" customFormat="1">
      <c r="A19" s="86" t="s">
        <v>128</v>
      </c>
      <c r="B19" s="75" t="s">
        <v>46</v>
      </c>
      <c r="C19" s="74"/>
      <c r="D19" s="56"/>
      <c r="E19" s="56">
        <f>IF(D19&gt;C19,D19-C19,C19-D19)</f>
        <v>0</v>
      </c>
      <c r="F19" s="56">
        <v>0.58333333333333304</v>
      </c>
      <c r="G19" s="74">
        <v>0.75</v>
      </c>
      <c r="H19" s="54">
        <f>IF(G19&gt;F19,G19-F19,F19-G19)</f>
        <v>0.16666666666666699</v>
      </c>
      <c r="I19" s="56">
        <v>0.75</v>
      </c>
      <c r="J19" s="56">
        <v>0.91666666666666696</v>
      </c>
      <c r="K19" s="56">
        <f>IF(J19&gt;I19,J19-I19,I19-J19)</f>
        <v>0.16666666666666699</v>
      </c>
      <c r="L19" s="56">
        <f>E19+H19+K19</f>
        <v>0.33333333333333298</v>
      </c>
    </row>
    <row r="20" spans="1:13">
      <c r="A20" s="87" t="s">
        <v>129</v>
      </c>
      <c r="B20" s="75" t="s">
        <v>130</v>
      </c>
      <c r="C20" s="74"/>
      <c r="D20" s="56"/>
      <c r="E20" s="56">
        <f>IF(D20&gt;C20,D20-C20,C20-D20)</f>
        <v>0</v>
      </c>
      <c r="F20" s="56">
        <v>0.58333333333333304</v>
      </c>
      <c r="G20" s="74">
        <v>0.75</v>
      </c>
      <c r="H20" s="54">
        <f>IF(G20&gt;F20,G20-F20,F20-G20)</f>
        <v>0.16666666666666699</v>
      </c>
      <c r="I20" s="56">
        <v>0.75</v>
      </c>
      <c r="J20" s="56">
        <v>0.91666666666666696</v>
      </c>
      <c r="K20" s="56">
        <f>IF(J20&gt;I20,J20-I20,I20-J20)</f>
        <v>0.16666666666666699</v>
      </c>
      <c r="L20" s="56">
        <f>E20+H20+K20</f>
        <v>0.33333333333333298</v>
      </c>
      <c r="M20" s="70"/>
    </row>
    <row r="21" spans="1:13" s="70" customFormat="1">
      <c r="A21" s="87" t="s">
        <v>131</v>
      </c>
      <c r="B21" s="88" t="s">
        <v>132</v>
      </c>
      <c r="C21" s="56">
        <v>0.25</v>
      </c>
      <c r="D21" s="56">
        <v>0.5</v>
      </c>
      <c r="E21" s="56">
        <f t="shared" ref="E21:E23" si="8">IF(D21&gt;C21,D21-C21,C21-D21)</f>
        <v>0.25</v>
      </c>
      <c r="F21" s="74">
        <v>0.5</v>
      </c>
      <c r="G21" s="56">
        <v>0.58333333333333304</v>
      </c>
      <c r="H21" s="54">
        <f t="shared" ref="H21:H23" si="9">IF(G21&gt;F21,G21-F21,F21-G21)</f>
        <v>8.3333333333333398E-2</v>
      </c>
      <c r="I21" s="56"/>
      <c r="J21" s="74"/>
      <c r="K21" s="56">
        <f t="shared" ref="K21:K23" si="10">IF(J21&gt;I21,J21-I21,I21-J21)</f>
        <v>0</v>
      </c>
      <c r="L21" s="56">
        <f t="shared" ref="L21:L23" si="11">E21+H21+K21</f>
        <v>0.33333333333333298</v>
      </c>
    </row>
    <row r="22" spans="1:13" s="32" customFormat="1">
      <c r="A22" s="87" t="s">
        <v>133</v>
      </c>
      <c r="B22" s="10" t="s">
        <v>139</v>
      </c>
      <c r="C22" s="41"/>
      <c r="D22" s="41"/>
      <c r="E22" s="41">
        <f t="shared" si="8"/>
        <v>0</v>
      </c>
      <c r="F22" s="41"/>
      <c r="G22" s="41"/>
      <c r="H22" s="40">
        <f t="shared" si="9"/>
        <v>0</v>
      </c>
      <c r="I22" s="41"/>
      <c r="J22" s="41"/>
      <c r="K22" s="41">
        <f t="shared" si="10"/>
        <v>0</v>
      </c>
      <c r="L22" s="41">
        <f t="shared" si="11"/>
        <v>0</v>
      </c>
      <c r="M22" s="71" t="s">
        <v>25</v>
      </c>
    </row>
    <row r="23" spans="1:13">
      <c r="A23" s="87" t="s">
        <v>135</v>
      </c>
      <c r="B23" s="88" t="s">
        <v>136</v>
      </c>
      <c r="C23" s="56">
        <v>0.25</v>
      </c>
      <c r="D23" s="56">
        <v>0.5</v>
      </c>
      <c r="E23" s="56">
        <f t="shared" si="8"/>
        <v>0.25</v>
      </c>
      <c r="F23" s="74">
        <v>0.5</v>
      </c>
      <c r="G23" s="56">
        <v>0.58333333333333304</v>
      </c>
      <c r="H23" s="54">
        <f t="shared" si="9"/>
        <v>8.3333333333333398E-2</v>
      </c>
      <c r="I23" s="56"/>
      <c r="J23" s="74"/>
      <c r="K23" s="56">
        <f t="shared" si="10"/>
        <v>0</v>
      </c>
      <c r="L23" s="56">
        <f t="shared" si="11"/>
        <v>0.33333333333333298</v>
      </c>
      <c r="M23" s="70"/>
    </row>
    <row r="24" spans="1:13" s="70" customFormat="1">
      <c r="A24" s="87" t="s">
        <v>137</v>
      </c>
      <c r="B24" s="73" t="s">
        <v>138</v>
      </c>
      <c r="C24" s="74">
        <v>0.25</v>
      </c>
      <c r="D24" s="74">
        <v>0.41666666666666702</v>
      </c>
      <c r="E24" s="56">
        <f t="shared" ref="E24" si="12">IF(D24&gt;C24,D24-C24,C24-D24)</f>
        <v>0.16666666666666699</v>
      </c>
      <c r="F24" s="56"/>
      <c r="G24" s="56"/>
      <c r="H24" s="54">
        <f t="shared" ref="H24" si="13">IF(G24&gt;F24,G24-F24,F24-G24)</f>
        <v>0</v>
      </c>
      <c r="I24" s="56">
        <v>0.75</v>
      </c>
      <c r="J24" s="74">
        <v>0.91666666666666696</v>
      </c>
      <c r="K24" s="56">
        <f t="shared" ref="K24" si="14">IF(J24&gt;I24,J24-I24,I24-J24)</f>
        <v>0.16666666666666699</v>
      </c>
      <c r="L24" s="56">
        <f t="shared" ref="L24" si="15">E24+H24+K24</f>
        <v>0.33333333333333298</v>
      </c>
    </row>
    <row r="25" spans="1:13" s="2" customFormat="1">
      <c r="A25" s="5"/>
      <c r="E25" s="29">
        <f>SUM(E19:E23)</f>
        <v>0.5</v>
      </c>
      <c r="H25" s="29">
        <f>SUM(H19:H24)</f>
        <v>0.5</v>
      </c>
      <c r="K25" s="29">
        <f>SUM(K19:K24)</f>
        <v>0.5</v>
      </c>
      <c r="L25" s="78">
        <f>SUM(L19:L24)</f>
        <v>1.6666666666666701</v>
      </c>
    </row>
    <row r="27" spans="1:13">
      <c r="C27" s="2" t="s">
        <v>127</v>
      </c>
      <c r="G27" s="5" t="s">
        <v>34</v>
      </c>
      <c r="H27" s="6">
        <f>+H16+1</f>
        <v>46246</v>
      </c>
    </row>
    <row r="28" spans="1:13">
      <c r="C28" s="168" t="s">
        <v>3</v>
      </c>
      <c r="D28" s="168"/>
      <c r="E28" s="168"/>
      <c r="F28" s="169" t="s">
        <v>4</v>
      </c>
      <c r="G28" s="169"/>
      <c r="H28" s="169"/>
      <c r="I28" s="170" t="s">
        <v>5</v>
      </c>
      <c r="J28" s="170"/>
      <c r="K28" s="170"/>
    </row>
    <row r="29" spans="1:13">
      <c r="B29" s="7" t="s">
        <v>6</v>
      </c>
      <c r="C29" s="8" t="s">
        <v>7</v>
      </c>
      <c r="D29" s="8" t="s">
        <v>8</v>
      </c>
      <c r="E29" s="8" t="s">
        <v>9</v>
      </c>
      <c r="F29" s="9" t="s">
        <v>7</v>
      </c>
      <c r="G29" s="9" t="s">
        <v>8</v>
      </c>
      <c r="H29" s="9" t="s">
        <v>9</v>
      </c>
      <c r="I29" s="16" t="s">
        <v>7</v>
      </c>
      <c r="J29" s="16" t="s">
        <v>8</v>
      </c>
      <c r="K29" s="16" t="s">
        <v>9</v>
      </c>
      <c r="L29" s="7" t="s">
        <v>10</v>
      </c>
    </row>
    <row r="30" spans="1:13" s="70" customFormat="1">
      <c r="A30" s="86" t="s">
        <v>128</v>
      </c>
      <c r="B30" s="75" t="s">
        <v>46</v>
      </c>
      <c r="C30" s="74"/>
      <c r="D30" s="56"/>
      <c r="E30" s="56">
        <f>IF(D30&gt;C30,D30-C30,C30-D30)</f>
        <v>0</v>
      </c>
      <c r="F30" s="56">
        <v>0.58333333333333304</v>
      </c>
      <c r="G30" s="74">
        <v>0.75</v>
      </c>
      <c r="H30" s="54">
        <f>IF(G30&gt;F30,G30-F30,F30-G30)</f>
        <v>0.16666666666666699</v>
      </c>
      <c r="I30" s="56">
        <v>0.75</v>
      </c>
      <c r="J30" s="56">
        <v>0.91666666666666696</v>
      </c>
      <c r="K30" s="56">
        <f>IF(J30&gt;I30,J30-I30,I30-J30)</f>
        <v>0.16666666666666699</v>
      </c>
      <c r="L30" s="56">
        <f>E30+H30+K30</f>
        <v>0.33333333333333298</v>
      </c>
    </row>
    <row r="31" spans="1:13" s="70" customFormat="1">
      <c r="A31" s="87" t="s">
        <v>129</v>
      </c>
      <c r="B31" s="10" t="s">
        <v>130</v>
      </c>
      <c r="C31" s="74">
        <v>0.25</v>
      </c>
      <c r="D31" s="56">
        <v>0.41666666666666702</v>
      </c>
      <c r="E31" s="56">
        <f t="shared" ref="E31:E33" si="16">IF(D31&gt;C31,D31-C31,C31-D31)</f>
        <v>0.16666666666666699</v>
      </c>
      <c r="F31" s="56"/>
      <c r="G31" s="74"/>
      <c r="H31" s="54">
        <f t="shared" ref="H31:H33" si="17">IF(G31&gt;F31,G31-F31,F31-G31)</f>
        <v>0</v>
      </c>
      <c r="I31" s="56">
        <v>0.75</v>
      </c>
      <c r="J31" s="74">
        <v>0.91666666666666696</v>
      </c>
      <c r="K31" s="56">
        <f t="shared" ref="K31:K33" si="18">IF(J31&gt;I31,J31-I31,I31-J31)</f>
        <v>0.16666666666666699</v>
      </c>
      <c r="L31" s="56">
        <f t="shared" ref="L31:L33" si="19">E31+H31+K31</f>
        <v>0.33333333333333298</v>
      </c>
      <c r="M31"/>
    </row>
    <row r="32" spans="1:13" s="71" customFormat="1">
      <c r="A32" s="87" t="s">
        <v>131</v>
      </c>
      <c r="B32" s="10" t="s">
        <v>132</v>
      </c>
      <c r="C32" s="41"/>
      <c r="D32" s="41"/>
      <c r="E32" s="41">
        <f t="shared" si="16"/>
        <v>0</v>
      </c>
      <c r="F32" s="41"/>
      <c r="G32" s="41"/>
      <c r="H32" s="40">
        <f t="shared" si="17"/>
        <v>0</v>
      </c>
      <c r="I32" s="41"/>
      <c r="J32" s="41"/>
      <c r="K32" s="41">
        <f t="shared" si="18"/>
        <v>0</v>
      </c>
      <c r="L32" s="41">
        <f t="shared" si="19"/>
        <v>0</v>
      </c>
      <c r="M32" s="71" t="s">
        <v>25</v>
      </c>
    </row>
    <row r="33" spans="1:14" s="70" customFormat="1">
      <c r="A33" s="87" t="s">
        <v>133</v>
      </c>
      <c r="B33" s="88" t="s">
        <v>134</v>
      </c>
      <c r="C33" s="56">
        <v>0.25</v>
      </c>
      <c r="D33" s="56">
        <v>0.5</v>
      </c>
      <c r="E33" s="56">
        <f t="shared" si="16"/>
        <v>0.25</v>
      </c>
      <c r="F33" s="74">
        <v>0.5</v>
      </c>
      <c r="G33" s="56">
        <v>0.58333333333333304</v>
      </c>
      <c r="H33" s="54">
        <f t="shared" si="17"/>
        <v>8.3333333333333398E-2</v>
      </c>
      <c r="I33" s="56"/>
      <c r="J33" s="74"/>
      <c r="K33" s="56">
        <f t="shared" si="18"/>
        <v>0</v>
      </c>
      <c r="L33" s="56">
        <f t="shared" si="19"/>
        <v>0.33333333333333298</v>
      </c>
    </row>
    <row r="34" spans="1:14" s="70" customFormat="1">
      <c r="A34" s="87" t="s">
        <v>135</v>
      </c>
      <c r="B34" s="88" t="s">
        <v>136</v>
      </c>
      <c r="C34" s="56">
        <v>0.25</v>
      </c>
      <c r="D34" s="56">
        <v>0.5</v>
      </c>
      <c r="E34" s="56">
        <f t="shared" ref="E34:E35" si="20">IF(D34&gt;C34,D34-C34,C34-D34)</f>
        <v>0.25</v>
      </c>
      <c r="F34" s="74">
        <v>0.5</v>
      </c>
      <c r="G34" s="56">
        <v>0.58333333333333304</v>
      </c>
      <c r="H34" s="54">
        <f t="shared" ref="H34:H35" si="21">IF(G34&gt;F34,G34-F34,F34-G34)</f>
        <v>8.3333333333333398E-2</v>
      </c>
      <c r="I34" s="56"/>
      <c r="J34" s="74"/>
      <c r="K34" s="56">
        <f t="shared" ref="K34:K35" si="22">IF(J34&gt;I34,J34-I34,I34-J34)</f>
        <v>0</v>
      </c>
      <c r="L34" s="56">
        <f t="shared" ref="L34:L35" si="23">E34+H34+K34</f>
        <v>0.33333333333333298</v>
      </c>
    </row>
    <row r="35" spans="1:14" s="70" customFormat="1">
      <c r="A35" s="87" t="s">
        <v>137</v>
      </c>
      <c r="B35" s="75" t="s">
        <v>138</v>
      </c>
      <c r="C35" s="74"/>
      <c r="D35" s="56"/>
      <c r="E35" s="56">
        <f t="shared" si="20"/>
        <v>0</v>
      </c>
      <c r="F35" s="56">
        <v>0.58333333333333304</v>
      </c>
      <c r="G35" s="74">
        <v>0.75</v>
      </c>
      <c r="H35" s="54">
        <f t="shared" si="21"/>
        <v>0.16666666666666699</v>
      </c>
      <c r="I35" s="56">
        <v>0.75</v>
      </c>
      <c r="J35" s="56">
        <v>0.91666666666666696</v>
      </c>
      <c r="K35" s="56">
        <f t="shared" si="22"/>
        <v>0.16666666666666699</v>
      </c>
      <c r="L35" s="56">
        <f t="shared" si="23"/>
        <v>0.33333333333333298</v>
      </c>
    </row>
    <row r="36" spans="1:14" s="2" customFormat="1">
      <c r="A36" s="5"/>
      <c r="E36" s="29">
        <f>SUM(E30:E35)</f>
        <v>0.66666666666666696</v>
      </c>
      <c r="H36" s="29">
        <f>SUM(H30:H35)</f>
        <v>0.5</v>
      </c>
      <c r="K36" s="29">
        <f>SUM(K30:K35)</f>
        <v>0.5</v>
      </c>
      <c r="L36" s="78">
        <f>SUM(L30:L35)</f>
        <v>1.6666666666666701</v>
      </c>
    </row>
    <row r="38" spans="1:14">
      <c r="C38" s="2" t="s">
        <v>127</v>
      </c>
      <c r="G38" s="5" t="s">
        <v>35</v>
      </c>
      <c r="H38" s="6">
        <f>+H27+1</f>
        <v>46247</v>
      </c>
    </row>
    <row r="39" spans="1:14">
      <c r="C39" s="168" t="s">
        <v>3</v>
      </c>
      <c r="D39" s="168"/>
      <c r="E39" s="168"/>
      <c r="F39" s="169" t="s">
        <v>4</v>
      </c>
      <c r="G39" s="169"/>
      <c r="H39" s="169"/>
      <c r="I39" s="170" t="s">
        <v>5</v>
      </c>
      <c r="J39" s="170"/>
      <c r="K39" s="170"/>
    </row>
    <row r="40" spans="1:14" ht="17.25" customHeight="1">
      <c r="B40" s="7" t="s">
        <v>6</v>
      </c>
      <c r="C40" s="8" t="s">
        <v>7</v>
      </c>
      <c r="D40" s="8" t="s">
        <v>8</v>
      </c>
      <c r="E40" s="8" t="s">
        <v>9</v>
      </c>
      <c r="F40" s="9" t="s">
        <v>7</v>
      </c>
      <c r="G40" s="9" t="s">
        <v>8</v>
      </c>
      <c r="H40" s="9" t="s">
        <v>9</v>
      </c>
      <c r="I40" s="16" t="s">
        <v>7</v>
      </c>
      <c r="J40" s="16" t="s">
        <v>8</v>
      </c>
      <c r="K40" s="16" t="s">
        <v>9</v>
      </c>
      <c r="L40" s="7" t="s">
        <v>10</v>
      </c>
    </row>
    <row r="41" spans="1:14" s="70" customFormat="1">
      <c r="A41" s="86" t="s">
        <v>128</v>
      </c>
      <c r="B41" s="75" t="s">
        <v>46</v>
      </c>
      <c r="C41" s="74"/>
      <c r="D41" s="56"/>
      <c r="E41" s="56">
        <f>IF(D41&gt;C41,D41-C41,C41-D41)</f>
        <v>0</v>
      </c>
      <c r="F41" s="56">
        <v>0.58333333333333304</v>
      </c>
      <c r="G41" s="74">
        <v>0.75</v>
      </c>
      <c r="H41" s="54">
        <f>IF(G41&gt;F41,G41-F41,F41-G41)</f>
        <v>0.16666666666666699</v>
      </c>
      <c r="I41" s="56">
        <v>0.75</v>
      </c>
      <c r="J41" s="56">
        <v>0.91666666666666696</v>
      </c>
      <c r="K41" s="56">
        <f>IF(J41&gt;I41,J41-I41,I41-J41)</f>
        <v>0.16666666666666699</v>
      </c>
      <c r="L41" s="56">
        <f>E41+H41+K41</f>
        <v>0.33333333333333298</v>
      </c>
    </row>
    <row r="42" spans="1:14" s="70" customFormat="1">
      <c r="A42" s="87" t="s">
        <v>129</v>
      </c>
      <c r="B42" s="10" t="s">
        <v>130</v>
      </c>
      <c r="C42" s="74"/>
      <c r="D42" s="56"/>
      <c r="E42" s="56">
        <f>IF(D42&gt;C42,D42-C42,C42-D42)</f>
        <v>0</v>
      </c>
      <c r="F42" s="56">
        <v>0.58333333333333304</v>
      </c>
      <c r="G42" s="74">
        <v>0.75</v>
      </c>
      <c r="H42" s="54">
        <f>IF(G42&gt;F42,G42-F42,F42-G42)</f>
        <v>0.16666666666666699</v>
      </c>
      <c r="I42" s="56">
        <v>0.75</v>
      </c>
      <c r="J42" s="56">
        <v>0.91666666666666696</v>
      </c>
      <c r="K42" s="56">
        <f>IF(J42&gt;I42,J42-I42,I42-J42)</f>
        <v>0.16666666666666699</v>
      </c>
      <c r="L42" s="56">
        <f>E42+H42+K42</f>
        <v>0.33333333333333298</v>
      </c>
    </row>
    <row r="43" spans="1:14" s="70" customFormat="1">
      <c r="A43" s="87" t="s">
        <v>131</v>
      </c>
      <c r="B43" s="88" t="s">
        <v>132</v>
      </c>
      <c r="C43" s="56">
        <v>0.25</v>
      </c>
      <c r="D43" s="56">
        <v>0.5</v>
      </c>
      <c r="E43" s="56">
        <f t="shared" ref="E43" si="24">IF(D43&gt;C43,D43-C43,C43-D43)</f>
        <v>0.25</v>
      </c>
      <c r="F43" s="74">
        <v>0.5</v>
      </c>
      <c r="G43" s="56">
        <v>0.58333333333333304</v>
      </c>
      <c r="H43" s="54">
        <f t="shared" ref="H43" si="25">IF(G43&gt;F43,G43-F43,F43-G43)</f>
        <v>8.3333333333333398E-2</v>
      </c>
      <c r="I43" s="56"/>
      <c r="J43" s="74"/>
      <c r="K43" s="56">
        <f t="shared" ref="K43" si="26">IF(J43&gt;I43,J43-I43,I43-J43)</f>
        <v>0</v>
      </c>
      <c r="L43" s="56">
        <f t="shared" ref="L43" si="27">E43+H43+K43</f>
        <v>0.33333333333333298</v>
      </c>
      <c r="N43"/>
    </row>
    <row r="44" spans="1:14" s="70" customFormat="1">
      <c r="A44" s="87" t="s">
        <v>133</v>
      </c>
      <c r="B44" s="73" t="s">
        <v>134</v>
      </c>
      <c r="C44" s="74">
        <v>0.25</v>
      </c>
      <c r="D44" s="74">
        <v>0.41666666666666702</v>
      </c>
      <c r="E44" s="56">
        <f t="shared" ref="E44:E46" si="28">IF(D44&gt;C44,D44-C44,C44-D44)</f>
        <v>0.16666666666666699</v>
      </c>
      <c r="F44" s="56"/>
      <c r="G44" s="56"/>
      <c r="H44" s="54">
        <f t="shared" ref="H44:H46" si="29">IF(G44&gt;F44,G44-F44,F44-G44)</f>
        <v>0</v>
      </c>
      <c r="I44" s="56">
        <v>0.75</v>
      </c>
      <c r="J44" s="74">
        <v>0.91666666666666696</v>
      </c>
      <c r="K44" s="56">
        <f t="shared" ref="K44:K46" si="30">IF(J44&gt;I44,J44-I44,I44-J44)</f>
        <v>0.16666666666666699</v>
      </c>
      <c r="L44" s="56">
        <f t="shared" ref="L44:L46" si="31">E44+H44+K44</f>
        <v>0.33333333333333298</v>
      </c>
    </row>
    <row r="45" spans="1:14" s="70" customFormat="1">
      <c r="A45" s="87" t="s">
        <v>135</v>
      </c>
      <c r="B45" s="88" t="s">
        <v>136</v>
      </c>
      <c r="C45" s="56">
        <v>0.25</v>
      </c>
      <c r="D45" s="56">
        <v>0.5</v>
      </c>
      <c r="E45" s="56">
        <f t="shared" si="28"/>
        <v>0.25</v>
      </c>
      <c r="F45" s="74">
        <v>0.5</v>
      </c>
      <c r="G45" s="56">
        <v>0.58333333333333304</v>
      </c>
      <c r="H45" s="54">
        <f t="shared" si="29"/>
        <v>8.3333333333333398E-2</v>
      </c>
      <c r="I45" s="56"/>
      <c r="J45" s="74"/>
      <c r="K45" s="56">
        <f t="shared" si="30"/>
        <v>0</v>
      </c>
      <c r="L45" s="56">
        <f t="shared" si="31"/>
        <v>0.33333333333333298</v>
      </c>
      <c r="N45"/>
    </row>
    <row r="46" spans="1:14" s="70" customFormat="1">
      <c r="A46" s="87" t="s">
        <v>137</v>
      </c>
      <c r="B46" s="75" t="s">
        <v>138</v>
      </c>
      <c r="C46" s="41"/>
      <c r="D46" s="41"/>
      <c r="E46" s="41">
        <f t="shared" si="28"/>
        <v>0</v>
      </c>
      <c r="F46" s="41"/>
      <c r="G46" s="41"/>
      <c r="H46" s="40">
        <f t="shared" si="29"/>
        <v>0</v>
      </c>
      <c r="I46" s="41"/>
      <c r="J46" s="41"/>
      <c r="K46" s="41">
        <f t="shared" si="30"/>
        <v>0</v>
      </c>
      <c r="L46" s="41">
        <f t="shared" si="31"/>
        <v>0</v>
      </c>
      <c r="M46" s="71" t="s">
        <v>25</v>
      </c>
    </row>
    <row r="47" spans="1:14" s="2" customFormat="1">
      <c r="A47" s="5"/>
      <c r="E47" s="29">
        <f>SUM(E41:E46)</f>
        <v>0.66666666666666696</v>
      </c>
      <c r="H47" s="29">
        <f>SUM(H41:H46)</f>
        <v>0.5</v>
      </c>
      <c r="K47" s="29">
        <f>SUM(K41:K46)</f>
        <v>0.5</v>
      </c>
      <c r="L47" s="78">
        <f>SUM(L41:L46)</f>
        <v>1.6666666666666701</v>
      </c>
    </row>
    <row r="49" spans="1:17">
      <c r="C49" s="2" t="s">
        <v>127</v>
      </c>
      <c r="G49" s="5" t="s">
        <v>36</v>
      </c>
      <c r="H49" s="6">
        <f>+H38+1</f>
        <v>46248</v>
      </c>
    </row>
    <row r="50" spans="1:17">
      <c r="C50" s="168" t="s">
        <v>3</v>
      </c>
      <c r="D50" s="168"/>
      <c r="E50" s="168"/>
      <c r="F50" s="169" t="s">
        <v>4</v>
      </c>
      <c r="G50" s="169"/>
      <c r="H50" s="169"/>
      <c r="I50" s="170" t="s">
        <v>5</v>
      </c>
      <c r="J50" s="170"/>
      <c r="K50" s="170"/>
    </row>
    <row r="51" spans="1:17">
      <c r="B51" s="7" t="s">
        <v>6</v>
      </c>
      <c r="C51" s="8" t="s">
        <v>7</v>
      </c>
      <c r="D51" s="8" t="s">
        <v>8</v>
      </c>
      <c r="E51" s="8" t="s">
        <v>9</v>
      </c>
      <c r="F51" s="9" t="s">
        <v>7</v>
      </c>
      <c r="G51" s="9" t="s">
        <v>8</v>
      </c>
      <c r="H51" s="9" t="s">
        <v>9</v>
      </c>
      <c r="I51" s="16" t="s">
        <v>7</v>
      </c>
      <c r="J51" s="16" t="s">
        <v>8</v>
      </c>
      <c r="K51" s="16" t="s">
        <v>9</v>
      </c>
      <c r="L51" s="7" t="s">
        <v>10</v>
      </c>
    </row>
    <row r="52" spans="1:17">
      <c r="A52" s="86" t="s">
        <v>128</v>
      </c>
      <c r="B52" s="75" t="s">
        <v>46</v>
      </c>
      <c r="C52" s="74"/>
      <c r="D52" s="56"/>
      <c r="E52" s="56">
        <f>IF(D52&gt;C52,D52-C52,C52-D52)</f>
        <v>0</v>
      </c>
      <c r="F52" s="56">
        <v>0.58333333333333304</v>
      </c>
      <c r="G52" s="74">
        <v>0.75</v>
      </c>
      <c r="H52" s="54">
        <f>IF(G52&gt;F52,G52-F52,F52-G52)</f>
        <v>0.16666666666666699</v>
      </c>
      <c r="I52" s="56">
        <v>0.75</v>
      </c>
      <c r="J52" s="56">
        <v>0.91666666666666696</v>
      </c>
      <c r="K52" s="56">
        <f>IF(J52&gt;I52,J52-I52,I52-J52)</f>
        <v>0.16666666666666699</v>
      </c>
      <c r="L52" s="56">
        <f>E52+H52+K52</f>
        <v>0.33333333333333298</v>
      </c>
      <c r="M52" s="70"/>
    </row>
    <row r="53" spans="1:17" s="32" customFormat="1">
      <c r="A53" s="87" t="s">
        <v>129</v>
      </c>
      <c r="B53" s="10" t="s">
        <v>130</v>
      </c>
      <c r="C53" s="41"/>
      <c r="D53" s="41"/>
      <c r="E53" s="41">
        <f t="shared" ref="E53" si="32">IF(D53&gt;C53,D53-C53,C53-D53)</f>
        <v>0</v>
      </c>
      <c r="F53" s="41"/>
      <c r="G53" s="41"/>
      <c r="H53" s="40">
        <f t="shared" ref="H53" si="33">IF(G53&gt;F53,G53-F53,F53-G53)</f>
        <v>0</v>
      </c>
      <c r="I53" s="41"/>
      <c r="J53" s="41"/>
      <c r="K53" s="41">
        <f t="shared" ref="K53" si="34">IF(J53&gt;I53,J53-I53,I53-J53)</f>
        <v>0</v>
      </c>
      <c r="L53" s="41">
        <f t="shared" ref="L53" si="35">E53+H53+K53</f>
        <v>0</v>
      </c>
      <c r="M53" s="71" t="s">
        <v>25</v>
      </c>
    </row>
    <row r="54" spans="1:17" s="70" customFormat="1">
      <c r="A54" s="87" t="s">
        <v>131</v>
      </c>
      <c r="B54" s="10" t="s">
        <v>132</v>
      </c>
      <c r="C54" s="74">
        <v>0.25</v>
      </c>
      <c r="D54" s="74">
        <v>0.41666666666666702</v>
      </c>
      <c r="E54" s="56">
        <f t="shared" ref="E54:E57" si="36">IF(D54&gt;C54,D54-C54,C54-D54)</f>
        <v>0.16666666666666699</v>
      </c>
      <c r="F54" s="56"/>
      <c r="G54" s="56"/>
      <c r="H54" s="54">
        <f t="shared" ref="H54:H57" si="37">IF(G54&gt;F54,G54-F54,F54-G54)</f>
        <v>0</v>
      </c>
      <c r="I54" s="56">
        <v>0.75</v>
      </c>
      <c r="J54" s="74">
        <v>0.91666666666666696</v>
      </c>
      <c r="K54" s="56">
        <f t="shared" ref="K54:K57" si="38">IF(J54&gt;I54,J54-I54,I54-J54)</f>
        <v>0.16666666666666699</v>
      </c>
      <c r="L54" s="56">
        <f t="shared" ref="L54:L57" si="39">E54+H54+K54</f>
        <v>0.33333333333333298</v>
      </c>
      <c r="M54"/>
    </row>
    <row r="55" spans="1:17">
      <c r="A55" s="87" t="s">
        <v>133</v>
      </c>
      <c r="B55" s="88" t="s">
        <v>134</v>
      </c>
      <c r="C55" s="74">
        <v>0.25</v>
      </c>
      <c r="D55" s="56">
        <v>0.5</v>
      </c>
      <c r="E55" s="56">
        <f t="shared" si="36"/>
        <v>0.25</v>
      </c>
      <c r="F55" s="56">
        <v>0.5</v>
      </c>
      <c r="G55" s="74">
        <v>0.58333333333333304</v>
      </c>
      <c r="H55" s="54">
        <f t="shared" si="37"/>
        <v>8.3333333333333398E-2</v>
      </c>
      <c r="I55" s="56"/>
      <c r="J55" s="56"/>
      <c r="K55" s="56">
        <f t="shared" si="38"/>
        <v>0</v>
      </c>
      <c r="L55" s="56">
        <f t="shared" si="39"/>
        <v>0.33333333333333298</v>
      </c>
      <c r="M55" s="70"/>
    </row>
    <row r="56" spans="1:17">
      <c r="A56" s="87" t="s">
        <v>135</v>
      </c>
      <c r="B56" s="88" t="s">
        <v>136</v>
      </c>
      <c r="C56" s="74">
        <v>0.25</v>
      </c>
      <c r="D56" s="56">
        <v>0.5</v>
      </c>
      <c r="E56" s="56">
        <f t="shared" si="36"/>
        <v>0.25</v>
      </c>
      <c r="F56" s="56">
        <v>0.5</v>
      </c>
      <c r="G56" s="74">
        <v>0.58333333333333304</v>
      </c>
      <c r="H56" s="54">
        <f t="shared" si="37"/>
        <v>8.3333333333333398E-2</v>
      </c>
      <c r="I56" s="56"/>
      <c r="J56" s="56"/>
      <c r="K56" s="56">
        <f t="shared" si="38"/>
        <v>0</v>
      </c>
      <c r="L56" s="56">
        <f t="shared" si="39"/>
        <v>0.33333333333333298</v>
      </c>
      <c r="M56" s="70"/>
    </row>
    <row r="57" spans="1:17" s="70" customFormat="1">
      <c r="A57" s="87" t="s">
        <v>137</v>
      </c>
      <c r="B57" s="75" t="s">
        <v>138</v>
      </c>
      <c r="C57" s="74"/>
      <c r="D57" s="56"/>
      <c r="E57" s="56">
        <f t="shared" si="36"/>
        <v>0</v>
      </c>
      <c r="F57" s="56">
        <v>0.58333333333333304</v>
      </c>
      <c r="G57" s="74">
        <v>0.75</v>
      </c>
      <c r="H57" s="54">
        <f t="shared" si="37"/>
        <v>0.16666666666666699</v>
      </c>
      <c r="I57" s="56">
        <v>0.75</v>
      </c>
      <c r="J57" s="56">
        <v>0.91666666666666696</v>
      </c>
      <c r="K57" s="56">
        <f t="shared" si="38"/>
        <v>0.16666666666666699</v>
      </c>
      <c r="L57" s="56">
        <f t="shared" si="39"/>
        <v>0.33333333333333298</v>
      </c>
    </row>
    <row r="58" spans="1:17" s="2" customFormat="1">
      <c r="A58" s="5"/>
      <c r="E58" s="29">
        <f>SUM(E52:E57)</f>
        <v>0.66666666666666696</v>
      </c>
      <c r="H58" s="29">
        <f>SUM(H52:H57)</f>
        <v>0.5</v>
      </c>
      <c r="K58" s="29">
        <f>SUM(K52:K57)</f>
        <v>0.5</v>
      </c>
      <c r="L58" s="78">
        <f>SUM(L52:L57)</f>
        <v>1.6666666666666701</v>
      </c>
    </row>
    <row r="60" spans="1:17">
      <c r="C60" s="2" t="s">
        <v>127</v>
      </c>
      <c r="G60" s="5" t="s">
        <v>37</v>
      </c>
      <c r="H60" s="6">
        <f>+H49+1</f>
        <v>46249</v>
      </c>
    </row>
    <row r="61" spans="1:17">
      <c r="C61" s="168" t="s">
        <v>3</v>
      </c>
      <c r="D61" s="168"/>
      <c r="E61" s="168"/>
      <c r="F61" s="169" t="s">
        <v>4</v>
      </c>
      <c r="G61" s="169"/>
      <c r="H61" s="169"/>
      <c r="I61" s="170" t="s">
        <v>5</v>
      </c>
      <c r="J61" s="170"/>
      <c r="K61" s="170"/>
    </row>
    <row r="62" spans="1:17">
      <c r="B62" s="7" t="s">
        <v>6</v>
      </c>
      <c r="C62" s="8" t="s">
        <v>7</v>
      </c>
      <c r="D62" s="8" t="s">
        <v>8</v>
      </c>
      <c r="E62" s="8" t="s">
        <v>9</v>
      </c>
      <c r="F62" s="9" t="s">
        <v>7</v>
      </c>
      <c r="G62" s="9" t="s">
        <v>8</v>
      </c>
      <c r="H62" s="9" t="s">
        <v>9</v>
      </c>
      <c r="I62" s="16" t="s">
        <v>7</v>
      </c>
      <c r="J62" s="16" t="s">
        <v>8</v>
      </c>
      <c r="K62" s="16" t="s">
        <v>9</v>
      </c>
      <c r="L62" s="7" t="s">
        <v>10</v>
      </c>
    </row>
    <row r="63" spans="1:17">
      <c r="A63" s="86" t="s">
        <v>128</v>
      </c>
      <c r="B63" s="73" t="s">
        <v>46</v>
      </c>
      <c r="C63" s="74">
        <v>0.25</v>
      </c>
      <c r="D63" s="74">
        <v>0.41666666666666702</v>
      </c>
      <c r="E63" s="56">
        <f t="shared" ref="E63:E66" si="40">IF(D63&gt;C63,D63-C63,C63-D63)</f>
        <v>0.16666666666666699</v>
      </c>
      <c r="F63" s="56"/>
      <c r="G63" s="56"/>
      <c r="H63" s="54">
        <f t="shared" ref="H63:H66" si="41">IF(G63&gt;F63,G63-F63,F63-G63)</f>
        <v>0</v>
      </c>
      <c r="I63" s="56">
        <v>0.75</v>
      </c>
      <c r="J63" s="74">
        <v>0.91666666666666696</v>
      </c>
      <c r="K63" s="56">
        <f t="shared" ref="K63:K66" si="42">IF(J63&gt;I63,J63-I63,I63-J63)</f>
        <v>0.16666666666666699</v>
      </c>
      <c r="L63" s="56">
        <f t="shared" ref="L63:L66" si="43">E63+H63+K63</f>
        <v>0.33333333333333298</v>
      </c>
      <c r="M63" s="70"/>
    </row>
    <row r="64" spans="1:17">
      <c r="A64" s="87" t="s">
        <v>129</v>
      </c>
      <c r="B64" s="75" t="s">
        <v>130</v>
      </c>
      <c r="C64" s="74"/>
      <c r="D64" s="56"/>
      <c r="E64" s="56">
        <f t="shared" si="40"/>
        <v>0</v>
      </c>
      <c r="F64" s="56">
        <v>0.58333333333333304</v>
      </c>
      <c r="G64" s="74">
        <v>0.75</v>
      </c>
      <c r="H64" s="54">
        <f t="shared" si="41"/>
        <v>0.16666666666666699</v>
      </c>
      <c r="I64" s="56">
        <v>0.75</v>
      </c>
      <c r="J64" s="56">
        <v>0.91666666666666696</v>
      </c>
      <c r="K64" s="56">
        <f t="shared" si="42"/>
        <v>0.16666666666666699</v>
      </c>
      <c r="L64" s="56">
        <f t="shared" si="43"/>
        <v>0.33333333333333298</v>
      </c>
      <c r="M64" s="70"/>
      <c r="N64" s="70"/>
      <c r="O64" s="70"/>
      <c r="P64" s="70"/>
      <c r="Q64" s="70"/>
    </row>
    <row r="65" spans="1:14" s="70" customFormat="1">
      <c r="A65" s="87" t="s">
        <v>131</v>
      </c>
      <c r="B65" s="88" t="s">
        <v>132</v>
      </c>
      <c r="C65" s="56">
        <v>0.25</v>
      </c>
      <c r="D65" s="56">
        <v>0.5</v>
      </c>
      <c r="E65" s="56">
        <f t="shared" si="40"/>
        <v>0.25</v>
      </c>
      <c r="F65" s="74">
        <v>0.5</v>
      </c>
      <c r="G65" s="56">
        <v>0.58333333333333304</v>
      </c>
      <c r="H65" s="54">
        <f t="shared" si="41"/>
        <v>8.3333333333333398E-2</v>
      </c>
      <c r="I65" s="56"/>
      <c r="J65" s="74"/>
      <c r="K65" s="56">
        <f t="shared" si="42"/>
        <v>0</v>
      </c>
      <c r="L65" s="56">
        <f t="shared" si="43"/>
        <v>0.33333333333333298</v>
      </c>
      <c r="N65"/>
    </row>
    <row r="66" spans="1:14">
      <c r="A66" s="87" t="s">
        <v>133</v>
      </c>
      <c r="B66" s="88" t="s">
        <v>134</v>
      </c>
      <c r="C66" s="56">
        <v>0.25</v>
      </c>
      <c r="D66" s="56">
        <v>0.5</v>
      </c>
      <c r="E66" s="56">
        <f t="shared" si="40"/>
        <v>0.25</v>
      </c>
      <c r="F66" s="74">
        <v>0.5</v>
      </c>
      <c r="G66" s="56">
        <v>0.58333333333333304</v>
      </c>
      <c r="H66" s="54">
        <f t="shared" si="41"/>
        <v>8.3333333333333398E-2</v>
      </c>
      <c r="I66" s="56"/>
      <c r="J66" s="74"/>
      <c r="K66" s="56">
        <f t="shared" si="42"/>
        <v>0</v>
      </c>
      <c r="L66" s="56">
        <f t="shared" si="43"/>
        <v>0.33333333333333298</v>
      </c>
      <c r="M66" s="70"/>
    </row>
    <row r="67" spans="1:14" s="32" customFormat="1">
      <c r="A67" s="87" t="s">
        <v>135</v>
      </c>
      <c r="B67" s="10" t="s">
        <v>136</v>
      </c>
      <c r="C67" s="41"/>
      <c r="D67" s="41"/>
      <c r="E67" s="41">
        <f>IF(D67&gt;C67,D67-C67,C67-D67)</f>
        <v>0</v>
      </c>
      <c r="F67" s="41"/>
      <c r="G67" s="41"/>
      <c r="H67" s="40">
        <f>IF(G67&gt;F67,G67-F67,F67-G67)</f>
        <v>0</v>
      </c>
      <c r="I67" s="41"/>
      <c r="J67" s="41"/>
      <c r="K67" s="41">
        <f>IF(J67&gt;I67,J67-I67,I67-J67)</f>
        <v>0</v>
      </c>
      <c r="L67" s="41">
        <f>E67+H67+K67</f>
        <v>0</v>
      </c>
      <c r="M67" s="71" t="s">
        <v>25</v>
      </c>
    </row>
    <row r="68" spans="1:14" s="70" customFormat="1">
      <c r="A68" s="87" t="s">
        <v>137</v>
      </c>
      <c r="B68" s="75" t="s">
        <v>138</v>
      </c>
      <c r="C68" s="74">
        <v>0.41666666666666702</v>
      </c>
      <c r="D68" s="56">
        <v>0.58333333333333304</v>
      </c>
      <c r="E68" s="56">
        <f>IF(D68&gt;C68,D68-C68,C68-D68)</f>
        <v>0.16666666666666699</v>
      </c>
      <c r="F68" s="56">
        <v>0.58333333333333304</v>
      </c>
      <c r="G68" s="74">
        <v>0.75</v>
      </c>
      <c r="H68" s="54">
        <f>IF(G68&gt;F68,G68-F68,F68-G68)</f>
        <v>0.16666666666666699</v>
      </c>
      <c r="I68" s="56">
        <v>0.75</v>
      </c>
      <c r="J68" s="56">
        <v>0.91666666666666696</v>
      </c>
      <c r="K68" s="56">
        <f>IF(J68&gt;I68,J68-I68,I68-J68)</f>
        <v>0.16666666666666699</v>
      </c>
      <c r="L68" s="56">
        <f>E68+H68+K68</f>
        <v>0.5</v>
      </c>
    </row>
    <row r="69" spans="1:14" s="2" customFormat="1">
      <c r="A69" s="5"/>
      <c r="E69" s="29">
        <f>SUM(E63:E68)</f>
        <v>0.83333333333333304</v>
      </c>
      <c r="H69" s="29">
        <f>SUM(H63:H68)</f>
        <v>0.5</v>
      </c>
      <c r="K69" s="29">
        <f>SUM(K63:K68)</f>
        <v>0.5</v>
      </c>
      <c r="L69" s="78">
        <f>SUM(L63:L68)</f>
        <v>1.8333333333333299</v>
      </c>
    </row>
    <row r="71" spans="1:14">
      <c r="C71" s="2" t="s">
        <v>127</v>
      </c>
      <c r="G71" s="5" t="s">
        <v>38</v>
      </c>
      <c r="H71" s="6">
        <f>+H60+1</f>
        <v>46250</v>
      </c>
    </row>
    <row r="72" spans="1:14">
      <c r="C72" s="168" t="s">
        <v>3</v>
      </c>
      <c r="D72" s="168"/>
      <c r="E72" s="168"/>
      <c r="F72" s="169" t="s">
        <v>4</v>
      </c>
      <c r="G72" s="169"/>
      <c r="H72" s="169"/>
      <c r="I72" s="170" t="s">
        <v>5</v>
      </c>
      <c r="J72" s="170"/>
      <c r="K72" s="170"/>
    </row>
    <row r="73" spans="1:14">
      <c r="B73" s="7" t="s">
        <v>6</v>
      </c>
      <c r="C73" s="8" t="s">
        <v>7</v>
      </c>
      <c r="D73" s="8" t="s">
        <v>8</v>
      </c>
      <c r="E73" s="8" t="s">
        <v>9</v>
      </c>
      <c r="F73" s="9" t="s">
        <v>7</v>
      </c>
      <c r="G73" s="9" t="s">
        <v>8</v>
      </c>
      <c r="H73" s="9" t="s">
        <v>9</v>
      </c>
      <c r="I73" s="16" t="s">
        <v>7</v>
      </c>
      <c r="J73" s="16" t="s">
        <v>8</v>
      </c>
      <c r="K73" s="16" t="s">
        <v>9</v>
      </c>
      <c r="L73" s="7" t="s">
        <v>10</v>
      </c>
    </row>
    <row r="74" spans="1:14">
      <c r="A74" s="3" t="s">
        <v>128</v>
      </c>
      <c r="B74" s="75" t="s">
        <v>46</v>
      </c>
      <c r="C74" s="74"/>
      <c r="D74" s="56"/>
      <c r="E74" s="56">
        <f t="shared" ref="E74:E77" si="44">IF(D74&gt;C74,D74-C74,C74-D74)</f>
        <v>0</v>
      </c>
      <c r="F74" s="56">
        <v>0.58333333333333304</v>
      </c>
      <c r="G74" s="74">
        <v>0.75</v>
      </c>
      <c r="H74" s="54">
        <f t="shared" ref="H74:H77" si="45">IF(G74&gt;F74,G74-F74,F74-G74)</f>
        <v>0.16666666666666699</v>
      </c>
      <c r="I74" s="56">
        <v>0.75</v>
      </c>
      <c r="J74" s="56">
        <v>0.91666666666666696</v>
      </c>
      <c r="K74" s="56">
        <f t="shared" ref="K74:K77" si="46">IF(J74&gt;I74,J74-I74,I74-J74)</f>
        <v>0.16666666666666699</v>
      </c>
      <c r="L74" s="56">
        <f t="shared" ref="L74:L77" si="47">E74+H74+K74</f>
        <v>0.33333333333333298</v>
      </c>
    </row>
    <row r="75" spans="1:14">
      <c r="A75" s="89" t="s">
        <v>129</v>
      </c>
      <c r="B75" s="75" t="s">
        <v>130</v>
      </c>
      <c r="C75" s="74"/>
      <c r="D75" s="56"/>
      <c r="E75" s="56">
        <f t="shared" si="44"/>
        <v>0</v>
      </c>
      <c r="F75" s="56">
        <v>0.58333333333333304</v>
      </c>
      <c r="G75" s="74">
        <v>0.75</v>
      </c>
      <c r="H75" s="54">
        <f t="shared" si="45"/>
        <v>0.16666666666666699</v>
      </c>
      <c r="I75" s="56">
        <v>0.75</v>
      </c>
      <c r="J75" s="56">
        <v>0.91666666666666696</v>
      </c>
      <c r="K75" s="56">
        <f t="shared" si="46"/>
        <v>0.16666666666666699</v>
      </c>
      <c r="L75" s="56">
        <f t="shared" si="47"/>
        <v>0.33333333333333298</v>
      </c>
      <c r="M75" s="70"/>
    </row>
    <row r="76" spans="1:14" s="70" customFormat="1">
      <c r="A76" s="89" t="s">
        <v>131</v>
      </c>
      <c r="B76" s="88" t="s">
        <v>132</v>
      </c>
      <c r="C76" s="74">
        <v>0.25</v>
      </c>
      <c r="D76" s="56">
        <v>0.5</v>
      </c>
      <c r="E76" s="56">
        <f t="shared" si="44"/>
        <v>0.25</v>
      </c>
      <c r="F76" s="56">
        <v>0.5</v>
      </c>
      <c r="G76" s="74">
        <v>0.58333333333333304</v>
      </c>
      <c r="H76" s="54">
        <f t="shared" si="45"/>
        <v>8.3333333333333398E-2</v>
      </c>
      <c r="I76" s="56"/>
      <c r="J76" s="56"/>
      <c r="K76" s="56">
        <f t="shared" si="46"/>
        <v>0</v>
      </c>
      <c r="L76" s="56">
        <f t="shared" si="47"/>
        <v>0.33333333333333298</v>
      </c>
      <c r="M76"/>
    </row>
    <row r="77" spans="1:14">
      <c r="A77" s="89" t="s">
        <v>133</v>
      </c>
      <c r="B77" s="88" t="s">
        <v>134</v>
      </c>
      <c r="C77" s="74">
        <v>0.25</v>
      </c>
      <c r="D77" s="56">
        <v>0.5</v>
      </c>
      <c r="E77" s="56">
        <f t="shared" si="44"/>
        <v>0.25</v>
      </c>
      <c r="F77" s="56">
        <v>0.5</v>
      </c>
      <c r="G77" s="74">
        <v>0.58333333333333304</v>
      </c>
      <c r="H77" s="54">
        <f t="shared" si="45"/>
        <v>8.3333333333333398E-2</v>
      </c>
      <c r="I77" s="56"/>
      <c r="J77" s="56"/>
      <c r="K77" s="56">
        <f t="shared" si="46"/>
        <v>0</v>
      </c>
      <c r="L77" s="56">
        <f t="shared" si="47"/>
        <v>0.33333333333333298</v>
      </c>
    </row>
    <row r="78" spans="1:14">
      <c r="A78" s="89" t="s">
        <v>135</v>
      </c>
      <c r="B78" s="88" t="s">
        <v>136</v>
      </c>
      <c r="C78" s="74">
        <v>0.25</v>
      </c>
      <c r="D78" s="56">
        <v>0.5</v>
      </c>
      <c r="E78" s="56">
        <f t="shared" ref="E78:E79" si="48">IF(D78&gt;C78,D78-C78,C78-D78)</f>
        <v>0.25</v>
      </c>
      <c r="F78" s="56">
        <v>0.5</v>
      </c>
      <c r="G78" s="74">
        <v>0.58333333333333304</v>
      </c>
      <c r="H78" s="54">
        <f t="shared" ref="H78:H79" si="49">IF(G78&gt;F78,G78-F78,F78-G78)</f>
        <v>8.3333333333333398E-2</v>
      </c>
      <c r="I78" s="56"/>
      <c r="J78" s="56"/>
      <c r="K78" s="56">
        <f t="shared" ref="K78:K79" si="50">IF(J78&gt;I78,J78-I78,I78-J78)</f>
        <v>0</v>
      </c>
      <c r="L78" s="56">
        <f t="shared" ref="L78:L79" si="51">E78+H78+K78</f>
        <v>0.33333333333333298</v>
      </c>
      <c r="M78" s="70"/>
    </row>
    <row r="79" spans="1:14" s="70" customFormat="1">
      <c r="A79" s="89" t="s">
        <v>137</v>
      </c>
      <c r="B79" s="75" t="s">
        <v>138</v>
      </c>
      <c r="C79" s="74">
        <v>0.41666666666666702</v>
      </c>
      <c r="D79" s="56">
        <v>0.58333333333333304</v>
      </c>
      <c r="E79" s="56">
        <f t="shared" si="48"/>
        <v>0.16666666666666699</v>
      </c>
      <c r="F79" s="56">
        <v>0.58333333333333304</v>
      </c>
      <c r="G79" s="74">
        <v>0.75</v>
      </c>
      <c r="H79" s="54">
        <f t="shared" si="49"/>
        <v>0.16666666666666699</v>
      </c>
      <c r="I79" s="56">
        <v>0.75</v>
      </c>
      <c r="J79" s="56">
        <v>0.91666666666666696</v>
      </c>
      <c r="K79" s="56">
        <f t="shared" si="50"/>
        <v>0.16666666666666699</v>
      </c>
      <c r="L79" s="56">
        <f t="shared" si="51"/>
        <v>0.5</v>
      </c>
      <c r="N79"/>
    </row>
    <row r="80" spans="1:14" s="2" customFormat="1">
      <c r="A80" s="5"/>
      <c r="E80" s="29">
        <f>SUM(E74:E79)</f>
        <v>0.91666666666666696</v>
      </c>
      <c r="H80" s="29">
        <f>SUM(H74:H79)</f>
        <v>0.75</v>
      </c>
      <c r="K80" s="29">
        <f>SUM(K74:K79)</f>
        <v>0.5</v>
      </c>
      <c r="L80" s="78">
        <f>SUM(L74:L79)</f>
        <v>2.1666666666666701</v>
      </c>
    </row>
    <row r="82" spans="1:3">
      <c r="A82" s="86" t="s">
        <v>128</v>
      </c>
      <c r="B82" s="10" t="s">
        <v>46</v>
      </c>
      <c r="C82" s="21">
        <f>+L8+L19+L30+L41+L52+L63+L74</f>
        <v>2</v>
      </c>
    </row>
    <row r="83" spans="1:3">
      <c r="A83" s="87" t="s">
        <v>129</v>
      </c>
      <c r="B83" s="10" t="s">
        <v>130</v>
      </c>
      <c r="C83" s="21">
        <f>+L10+L20+L31+L42+L53+L65+L75</f>
        <v>2</v>
      </c>
    </row>
    <row r="84" spans="1:3">
      <c r="A84" s="89" t="s">
        <v>131</v>
      </c>
      <c r="B84" s="10" t="s">
        <v>132</v>
      </c>
      <c r="C84" s="21">
        <f>+L11+L21+L32+L43+L54+L66+L76</f>
        <v>2</v>
      </c>
    </row>
    <row r="85" spans="1:3">
      <c r="A85" s="87" t="s">
        <v>133</v>
      </c>
      <c r="B85" s="10" t="s">
        <v>134</v>
      </c>
      <c r="C85" s="21">
        <f>+L12+L22+L33+L44+L55+L66+L77</f>
        <v>2</v>
      </c>
    </row>
    <row r="86" spans="1:3">
      <c r="A86" s="87" t="s">
        <v>135</v>
      </c>
      <c r="B86" s="10" t="s">
        <v>136</v>
      </c>
      <c r="C86" s="21">
        <f>+L13+L23+L34+L45+L56+L67+L78</f>
        <v>2</v>
      </c>
    </row>
    <row r="87" spans="1:3">
      <c r="A87" s="87" t="s">
        <v>137</v>
      </c>
      <c r="B87" s="10" t="s">
        <v>138</v>
      </c>
      <c r="C87" s="21">
        <f>+L13+L24+L35+L46+L57+L68+L79</f>
        <v>2.3333333333333299</v>
      </c>
    </row>
  </sheetData>
  <mergeCells count="22">
    <mergeCell ref="C6:E6"/>
    <mergeCell ref="F6:H6"/>
    <mergeCell ref="I6:K6"/>
    <mergeCell ref="C17:E17"/>
    <mergeCell ref="F17:H17"/>
    <mergeCell ref="I17:K17"/>
    <mergeCell ref="C72:E72"/>
    <mergeCell ref="F72:H72"/>
    <mergeCell ref="I72:K72"/>
    <mergeCell ref="E2:I3"/>
    <mergeCell ref="C50:E50"/>
    <mergeCell ref="F50:H50"/>
    <mergeCell ref="I50:K50"/>
    <mergeCell ref="C61:E61"/>
    <mergeCell ref="F61:H61"/>
    <mergeCell ref="I61:K61"/>
    <mergeCell ref="C28:E28"/>
    <mergeCell ref="F28:H28"/>
    <mergeCell ref="I28:K28"/>
    <mergeCell ref="C39:E39"/>
    <mergeCell ref="F39:H39"/>
    <mergeCell ref="I39:K39"/>
  </mergeCells>
  <pageMargins left="0.7" right="0.7" top="0.75" bottom="0.75" header="0.3" footer="0.3"/>
  <pageSetup paperSize="9" orientation="portrait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P122"/>
  <sheetViews>
    <sheetView topLeftCell="A70" zoomScale="94" zoomScaleNormal="94" workbookViewId="0">
      <selection activeCell="O116" sqref="O116"/>
    </sheetView>
  </sheetViews>
  <sheetFormatPr defaultColWidth="11" defaultRowHeight="15"/>
  <sheetData>
    <row r="2" spans="1:13">
      <c r="E2" s="171" t="s">
        <v>140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42</v>
      </c>
      <c r="G5" s="5" t="s">
        <v>39</v>
      </c>
      <c r="H5" s="6">
        <f>+SECURITE!H5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s="71" customFormat="1">
      <c r="A8" s="72" t="s">
        <v>141</v>
      </c>
      <c r="B8" s="73" t="s">
        <v>142</v>
      </c>
      <c r="C8" s="74"/>
      <c r="D8" s="56"/>
      <c r="E8" s="56">
        <f>IF(D8&gt;C8,D8-C8,C8-D8)</f>
        <v>0</v>
      </c>
      <c r="F8" s="56">
        <v>0.58333333333333304</v>
      </c>
      <c r="G8" s="74">
        <v>0.75</v>
      </c>
      <c r="H8" s="54">
        <f>IF(G8&gt;F8,G8-F8,F8-G8)</f>
        <v>0.16666666666666699</v>
      </c>
      <c r="I8" s="56">
        <v>0.75</v>
      </c>
      <c r="J8" s="56">
        <v>0.91666666666666696</v>
      </c>
      <c r="K8" s="56">
        <f>IF(J8&gt;I8,J8-I8,I8-J8)</f>
        <v>0.16666666666666699</v>
      </c>
      <c r="L8" s="17">
        <f>E8+H8+K8</f>
        <v>0.33333333333333298</v>
      </c>
      <c r="M8" s="70"/>
    </row>
    <row r="9" spans="1:13" s="71" customFormat="1">
      <c r="A9" s="72" t="s">
        <v>143</v>
      </c>
      <c r="B9" s="10" t="s">
        <v>144</v>
      </c>
      <c r="C9" s="74">
        <v>0.25</v>
      </c>
      <c r="D9" s="56">
        <v>0.41666666666666702</v>
      </c>
      <c r="E9" s="56">
        <f t="shared" ref="E9:E19" si="0">IF(D9&gt;C9,D9-C9,C9-D9)</f>
        <v>0.16666666666666699</v>
      </c>
      <c r="F9" s="56"/>
      <c r="G9" s="74"/>
      <c r="H9" s="54">
        <f t="shared" ref="H9:H19" si="1">IF(G9&gt;F9,G9-F9,F9-G9)</f>
        <v>0</v>
      </c>
      <c r="I9" s="56">
        <v>0.75</v>
      </c>
      <c r="J9" s="74">
        <v>0.91666666666666696</v>
      </c>
      <c r="K9" s="56">
        <f t="shared" ref="K9:K19" si="2">IF(J9&gt;I9,J9-I9,I9-J9)</f>
        <v>0.16666666666666699</v>
      </c>
      <c r="L9" s="17">
        <f t="shared" ref="L9:L19" si="3">E9+H9+K9</f>
        <v>0.33333333333333298</v>
      </c>
      <c r="M9" s="70"/>
    </row>
    <row r="10" spans="1:13" s="70" customFormat="1">
      <c r="A10" s="72" t="s">
        <v>145</v>
      </c>
      <c r="B10" s="75" t="s">
        <v>102</v>
      </c>
      <c r="C10" s="74"/>
      <c r="D10" s="56"/>
      <c r="E10" s="56">
        <f t="shared" si="0"/>
        <v>0</v>
      </c>
      <c r="F10" s="56">
        <v>0.58333333333333304</v>
      </c>
      <c r="G10" s="74">
        <v>0.75</v>
      </c>
      <c r="H10" s="54">
        <f t="shared" si="1"/>
        <v>0.16666666666666699</v>
      </c>
      <c r="I10" s="56">
        <v>0.75</v>
      </c>
      <c r="J10" s="56">
        <v>0.91666666666666696</v>
      </c>
      <c r="K10" s="56">
        <f t="shared" si="2"/>
        <v>0.16666666666666699</v>
      </c>
      <c r="L10" s="17">
        <f t="shared" si="3"/>
        <v>0.33333333333333298</v>
      </c>
    </row>
    <row r="11" spans="1:13" s="70" customFormat="1">
      <c r="A11" s="72" t="s">
        <v>143</v>
      </c>
      <c r="B11" s="10" t="s">
        <v>146</v>
      </c>
      <c r="C11" s="41"/>
      <c r="D11" s="41"/>
      <c r="E11" s="41">
        <f t="shared" si="0"/>
        <v>0</v>
      </c>
      <c r="F11" s="41"/>
      <c r="G11" s="41"/>
      <c r="H11" s="40">
        <f t="shared" si="1"/>
        <v>0</v>
      </c>
      <c r="I11" s="41"/>
      <c r="J11" s="41"/>
      <c r="K11" s="41">
        <f t="shared" si="2"/>
        <v>0</v>
      </c>
      <c r="L11" s="83">
        <f t="shared" si="3"/>
        <v>0</v>
      </c>
      <c r="M11" s="71" t="s">
        <v>25</v>
      </c>
    </row>
    <row r="12" spans="1:13" s="70" customFormat="1">
      <c r="A12" s="72" t="s">
        <v>60</v>
      </c>
      <c r="B12" s="73" t="s">
        <v>61</v>
      </c>
      <c r="C12" s="74"/>
      <c r="D12" s="56"/>
      <c r="E12" s="56">
        <f t="shared" ref="E12:E13" si="4">IF(D12&gt;C12,D12-C12,C12-D12)</f>
        <v>0</v>
      </c>
      <c r="F12" s="56">
        <v>0.58333333333333304</v>
      </c>
      <c r="G12" s="74">
        <v>0.75</v>
      </c>
      <c r="H12" s="54">
        <f t="shared" ref="H12:H13" si="5">IF(G12&gt;F12,G12-F12,F12-G12)</f>
        <v>0.16666666666666699</v>
      </c>
      <c r="I12" s="56">
        <v>0.75</v>
      </c>
      <c r="J12" s="56">
        <v>0.91666666666666696</v>
      </c>
      <c r="K12" s="56">
        <f t="shared" ref="K12:K13" si="6">IF(J12&gt;I12,J12-I12,I12-J12)</f>
        <v>0.16666666666666699</v>
      </c>
      <c r="L12" s="17">
        <f t="shared" ref="L12:L13" si="7">E12+H12+K12</f>
        <v>0.33333333333333298</v>
      </c>
    </row>
    <row r="13" spans="1:13" s="70" customFormat="1">
      <c r="A13" s="72" t="s">
        <v>147</v>
      </c>
      <c r="B13" s="73" t="s">
        <v>148</v>
      </c>
      <c r="C13" s="74">
        <v>0.25</v>
      </c>
      <c r="D13" s="56">
        <v>0.5</v>
      </c>
      <c r="E13" s="56">
        <f t="shared" si="4"/>
        <v>0.25</v>
      </c>
      <c r="F13" s="56">
        <v>0.5</v>
      </c>
      <c r="G13" s="74">
        <v>0.58333333333333304</v>
      </c>
      <c r="H13" s="54">
        <f t="shared" si="5"/>
        <v>8.3333333333333398E-2</v>
      </c>
      <c r="I13" s="56"/>
      <c r="J13" s="56"/>
      <c r="K13" s="56">
        <f t="shared" si="6"/>
        <v>0</v>
      </c>
      <c r="L13" s="17">
        <f t="shared" si="7"/>
        <v>0.33333333333333298</v>
      </c>
    </row>
    <row r="14" spans="1:13" s="70" customFormat="1">
      <c r="A14" s="72" t="s">
        <v>149</v>
      </c>
      <c r="B14" s="10" t="s">
        <v>150</v>
      </c>
      <c r="C14" s="41"/>
      <c r="D14" s="41"/>
      <c r="E14" s="41">
        <f t="shared" si="0"/>
        <v>0</v>
      </c>
      <c r="F14" s="41"/>
      <c r="G14" s="41"/>
      <c r="H14" s="40">
        <f t="shared" si="1"/>
        <v>0</v>
      </c>
      <c r="I14" s="41"/>
      <c r="J14" s="41"/>
      <c r="K14" s="41">
        <f t="shared" si="2"/>
        <v>0</v>
      </c>
      <c r="L14" s="83">
        <f t="shared" si="3"/>
        <v>0</v>
      </c>
      <c r="M14" s="71" t="s">
        <v>25</v>
      </c>
    </row>
    <row r="15" spans="1:13" s="70" customFormat="1">
      <c r="A15" s="72" t="s">
        <v>151</v>
      </c>
      <c r="B15" s="75" t="s">
        <v>152</v>
      </c>
      <c r="C15" s="74">
        <v>0.25</v>
      </c>
      <c r="D15" s="56">
        <v>0.5</v>
      </c>
      <c r="E15" s="56">
        <f t="shared" si="0"/>
        <v>0.25</v>
      </c>
      <c r="F15" s="56">
        <v>0.5</v>
      </c>
      <c r="G15" s="74">
        <v>0.58333333333333304</v>
      </c>
      <c r="H15" s="54">
        <f t="shared" si="1"/>
        <v>8.3333333333333398E-2</v>
      </c>
      <c r="I15" s="56"/>
      <c r="J15" s="56"/>
      <c r="K15" s="56">
        <f t="shared" si="2"/>
        <v>0</v>
      </c>
      <c r="L15" s="17">
        <f t="shared" si="3"/>
        <v>0.33333333333333298</v>
      </c>
    </row>
    <row r="16" spans="1:13" s="70" customFormat="1">
      <c r="A16" s="72" t="s">
        <v>153</v>
      </c>
      <c r="B16" s="75" t="s">
        <v>124</v>
      </c>
      <c r="C16" s="74">
        <v>0.25</v>
      </c>
      <c r="D16" s="56">
        <v>0.41666666666666702</v>
      </c>
      <c r="E16" s="56">
        <f t="shared" si="0"/>
        <v>0.16666666666666699</v>
      </c>
      <c r="F16" s="56"/>
      <c r="G16" s="74"/>
      <c r="H16" s="54">
        <f t="shared" si="1"/>
        <v>0</v>
      </c>
      <c r="I16" s="56">
        <v>0.75</v>
      </c>
      <c r="J16" s="74">
        <v>0.91666666666666696</v>
      </c>
      <c r="K16" s="56">
        <f t="shared" si="2"/>
        <v>0.16666666666666699</v>
      </c>
      <c r="L16" s="17">
        <f t="shared" si="3"/>
        <v>0.33333333333333298</v>
      </c>
    </row>
    <row r="17" spans="1:13" s="70" customFormat="1">
      <c r="A17" s="72"/>
      <c r="B17" s="76" t="s">
        <v>154</v>
      </c>
      <c r="C17" s="74">
        <v>0.25</v>
      </c>
      <c r="D17" s="56">
        <v>0.5</v>
      </c>
      <c r="E17" s="56">
        <f t="shared" si="0"/>
        <v>0.25</v>
      </c>
      <c r="F17" s="56">
        <v>0.5</v>
      </c>
      <c r="G17" s="74">
        <v>0.58333333333333304</v>
      </c>
      <c r="H17" s="54">
        <f t="shared" si="1"/>
        <v>8.3333333333333398E-2</v>
      </c>
      <c r="I17" s="56"/>
      <c r="J17" s="56"/>
      <c r="K17" s="56">
        <f t="shared" si="2"/>
        <v>0</v>
      </c>
      <c r="L17" s="17">
        <f t="shared" si="3"/>
        <v>0.33333333333333298</v>
      </c>
    </row>
    <row r="18" spans="1:13" s="70" customFormat="1">
      <c r="A18" s="72"/>
      <c r="B18" s="76" t="s">
        <v>155</v>
      </c>
      <c r="C18" s="74"/>
      <c r="D18" s="56"/>
      <c r="E18" s="56">
        <f t="shared" si="0"/>
        <v>0</v>
      </c>
      <c r="F18" s="56"/>
      <c r="G18" s="74"/>
      <c r="H18" s="54">
        <f t="shared" si="1"/>
        <v>0</v>
      </c>
      <c r="I18" s="56"/>
      <c r="J18" s="56"/>
      <c r="K18" s="56">
        <f t="shared" si="2"/>
        <v>0</v>
      </c>
      <c r="L18" s="17">
        <f t="shared" si="3"/>
        <v>0</v>
      </c>
    </row>
    <row r="19" spans="1:13" s="70" customFormat="1">
      <c r="A19" s="72" t="s">
        <v>156</v>
      </c>
      <c r="B19" s="76" t="s">
        <v>157</v>
      </c>
      <c r="C19" s="74">
        <v>0.25</v>
      </c>
      <c r="D19" s="56">
        <v>0.5</v>
      </c>
      <c r="E19" s="56">
        <f t="shared" si="0"/>
        <v>0.25</v>
      </c>
      <c r="F19" s="56">
        <v>0.5</v>
      </c>
      <c r="G19" s="74">
        <v>0.58333333333333304</v>
      </c>
      <c r="H19" s="54">
        <f t="shared" si="1"/>
        <v>8.3333333333333398E-2</v>
      </c>
      <c r="I19" s="56"/>
      <c r="J19" s="56"/>
      <c r="K19" s="56">
        <f t="shared" si="2"/>
        <v>0</v>
      </c>
      <c r="L19" s="17">
        <f t="shared" si="3"/>
        <v>0.33333333333333298</v>
      </c>
    </row>
    <row r="20" spans="1:13" s="70" customFormat="1">
      <c r="A20"/>
      <c r="B20" s="13"/>
      <c r="C20" s="77"/>
      <c r="D20" s="77"/>
      <c r="E20" s="78">
        <f>SUM(E8:E19)</f>
        <v>1.3333333333333299</v>
      </c>
      <c r="F20" s="78"/>
      <c r="G20" s="78"/>
      <c r="H20" s="78">
        <f>SUM(H8:H19)</f>
        <v>0.83333333333333304</v>
      </c>
      <c r="I20" s="78"/>
      <c r="J20" s="78"/>
      <c r="K20" s="78">
        <f>SUM(K8:K19)</f>
        <v>0.83333333333333304</v>
      </c>
      <c r="L20" s="78">
        <f>SUM(L8:L19)</f>
        <v>3</v>
      </c>
    </row>
    <row r="22" spans="1:13">
      <c r="C22" s="2" t="s">
        <v>42</v>
      </c>
      <c r="G22" s="5" t="s">
        <v>32</v>
      </c>
      <c r="H22" s="6">
        <f>+H5+1</f>
        <v>46245</v>
      </c>
    </row>
    <row r="23" spans="1:13">
      <c r="C23" s="168" t="s">
        <v>3</v>
      </c>
      <c r="D23" s="168"/>
      <c r="E23" s="168"/>
      <c r="F23" s="169" t="s">
        <v>4</v>
      </c>
      <c r="G23" s="169"/>
      <c r="H23" s="169"/>
      <c r="I23" s="170" t="s">
        <v>5</v>
      </c>
      <c r="J23" s="170"/>
      <c r="K23" s="170"/>
    </row>
    <row r="24" spans="1:13">
      <c r="B24" s="7" t="s">
        <v>6</v>
      </c>
      <c r="C24" s="8" t="s">
        <v>7</v>
      </c>
      <c r="D24" s="8" t="s">
        <v>8</v>
      </c>
      <c r="E24" s="8" t="s">
        <v>9</v>
      </c>
      <c r="F24" s="9" t="s">
        <v>7</v>
      </c>
      <c r="G24" s="9" t="s">
        <v>8</v>
      </c>
      <c r="H24" s="9" t="s">
        <v>9</v>
      </c>
      <c r="I24" s="16" t="s">
        <v>7</v>
      </c>
      <c r="J24" s="16" t="s">
        <v>8</v>
      </c>
      <c r="K24" s="16" t="s">
        <v>9</v>
      </c>
      <c r="L24" s="7" t="s">
        <v>10</v>
      </c>
    </row>
    <row r="25" spans="1:13" s="71" customFormat="1">
      <c r="A25" s="72" t="s">
        <v>141</v>
      </c>
      <c r="B25" s="73" t="s">
        <v>142</v>
      </c>
      <c r="C25" s="74"/>
      <c r="D25" s="56"/>
      <c r="E25" s="56">
        <f t="shared" ref="E25" si="8">IF(D25&gt;C25,D25-C25,C25-D25)</f>
        <v>0</v>
      </c>
      <c r="F25" s="74">
        <v>0.58333333333333304</v>
      </c>
      <c r="G25" s="56">
        <v>0.75</v>
      </c>
      <c r="H25" s="54">
        <f t="shared" ref="H25" si="9">IF(G25&gt;F25,G25-F25,F25-G25)</f>
        <v>0.16666666666666699</v>
      </c>
      <c r="I25" s="56">
        <v>0.75</v>
      </c>
      <c r="J25" s="74">
        <v>0.91666666666666696</v>
      </c>
      <c r="K25" s="56">
        <f t="shared" ref="K25" si="10">IF(J25&gt;I25,J25-I25,I25-J25)</f>
        <v>0.16666666666666699</v>
      </c>
      <c r="L25" s="17">
        <f t="shared" ref="L25" si="11">E25+H25+K25</f>
        <v>0.33333333333333298</v>
      </c>
      <c r="M25" s="70"/>
    </row>
    <row r="26" spans="1:13" s="71" customFormat="1">
      <c r="A26" s="72" t="s">
        <v>143</v>
      </c>
      <c r="B26" s="10" t="s">
        <v>144</v>
      </c>
      <c r="C26" s="74">
        <v>0.41666666666666702</v>
      </c>
      <c r="D26" s="56">
        <v>0.58333333333333304</v>
      </c>
      <c r="E26" s="56">
        <f t="shared" ref="E26:E35" si="12">IF(D26&gt;C26,D26-C26,C26-D26)</f>
        <v>0.16666666666666699</v>
      </c>
      <c r="F26" s="56"/>
      <c r="G26" s="74"/>
      <c r="H26" s="54">
        <f t="shared" ref="H26:H35" si="13">IF(G26&gt;F26,G26-F26,F26-G26)</f>
        <v>0</v>
      </c>
      <c r="I26" s="56">
        <v>0.75</v>
      </c>
      <c r="J26" s="74">
        <v>0.91666666666666696</v>
      </c>
      <c r="K26" s="56">
        <f t="shared" ref="K26" si="14">IF(J26&gt;I26,J26-I26,I26-J26)</f>
        <v>0.16666666666666699</v>
      </c>
      <c r="L26" s="17">
        <f t="shared" ref="L26:L35" si="15">E26+H26+K26</f>
        <v>0.33333333333333298</v>
      </c>
      <c r="M26" s="70"/>
    </row>
    <row r="27" spans="1:13" s="70" customFormat="1">
      <c r="A27" s="72" t="s">
        <v>145</v>
      </c>
      <c r="B27" s="13" t="s">
        <v>102</v>
      </c>
      <c r="C27" s="41"/>
      <c r="D27" s="41"/>
      <c r="E27" s="41">
        <f t="shared" si="12"/>
        <v>0</v>
      </c>
      <c r="F27" s="41"/>
      <c r="G27" s="41"/>
      <c r="H27" s="40">
        <f t="shared" si="13"/>
        <v>0</v>
      </c>
      <c r="I27" s="41"/>
      <c r="J27" s="41"/>
      <c r="K27" s="56">
        <f>IF(J27&gt;I27,J27-I27,I27-J27)</f>
        <v>0</v>
      </c>
      <c r="L27" s="17">
        <f t="shared" si="15"/>
        <v>0</v>
      </c>
      <c r="M27" s="71" t="s">
        <v>25</v>
      </c>
    </row>
    <row r="28" spans="1:13" s="70" customFormat="1">
      <c r="A28" s="72" t="s">
        <v>143</v>
      </c>
      <c r="B28" s="73" t="s">
        <v>146</v>
      </c>
      <c r="C28" s="56"/>
      <c r="D28" s="56"/>
      <c r="E28" s="56">
        <f t="shared" si="12"/>
        <v>0</v>
      </c>
      <c r="F28" s="74">
        <v>0.58333333333333304</v>
      </c>
      <c r="G28" s="56">
        <v>0.75</v>
      </c>
      <c r="H28" s="54">
        <f t="shared" si="13"/>
        <v>0.16666666666666699</v>
      </c>
      <c r="I28" s="56">
        <v>0.75</v>
      </c>
      <c r="J28" s="74">
        <v>0.91666666666666696</v>
      </c>
      <c r="K28" s="56">
        <f>IF(J28&gt;I28,J28-I28,I28-J28)</f>
        <v>0.16666666666666699</v>
      </c>
      <c r="L28" s="17">
        <f t="shared" si="15"/>
        <v>0.33333333333333298</v>
      </c>
    </row>
    <row r="29" spans="1:13" s="70" customFormat="1">
      <c r="A29" s="72" t="s">
        <v>147</v>
      </c>
      <c r="B29" s="79" t="s">
        <v>148</v>
      </c>
      <c r="C29" s="56">
        <v>0.25</v>
      </c>
      <c r="D29" s="56">
        <v>0.41666666666666702</v>
      </c>
      <c r="E29" s="80">
        <f t="shared" si="12"/>
        <v>0.16666666666666699</v>
      </c>
      <c r="F29" s="74"/>
      <c r="G29" s="56"/>
      <c r="H29" s="81">
        <f t="shared" si="13"/>
        <v>0</v>
      </c>
      <c r="I29" s="56">
        <v>0.75</v>
      </c>
      <c r="J29" s="74">
        <v>0.91666666666666696</v>
      </c>
      <c r="K29" s="56">
        <f>IF(J29&gt;I29,J29-I29,I29-J29)</f>
        <v>0.16666666666666699</v>
      </c>
      <c r="L29" s="17">
        <f t="shared" si="15"/>
        <v>0.33333333333333298</v>
      </c>
    </row>
    <row r="30" spans="1:13" s="70" customFormat="1">
      <c r="A30" s="72" t="s">
        <v>149</v>
      </c>
      <c r="B30" s="73" t="s">
        <v>150</v>
      </c>
      <c r="C30" s="56"/>
      <c r="D30" s="56"/>
      <c r="E30" s="56">
        <f t="shared" ref="E30" si="16">IF(D30&gt;C30,D30-C30,C30-D30)</f>
        <v>0</v>
      </c>
      <c r="F30" s="74">
        <v>0.58333333333333304</v>
      </c>
      <c r="G30" s="56">
        <v>0.75</v>
      </c>
      <c r="H30" s="54">
        <f t="shared" ref="H30:H33" si="17">IF(G30&gt;F30,G30-F30,F30-G30)</f>
        <v>0.16666666666666699</v>
      </c>
      <c r="I30" s="56">
        <v>0.75</v>
      </c>
      <c r="J30" s="74">
        <v>0.91666666666666696</v>
      </c>
      <c r="K30" s="56">
        <f t="shared" ref="K30" si="18">IF(J30&gt;I30,J30-I30,I30-J30)</f>
        <v>0.16666666666666699</v>
      </c>
      <c r="L30" s="17">
        <f t="shared" ref="L30" si="19">E30+H30+K30</f>
        <v>0.33333333333333298</v>
      </c>
    </row>
    <row r="31" spans="1:13" s="70" customFormat="1">
      <c r="A31" s="72" t="s">
        <v>151</v>
      </c>
      <c r="B31" s="75" t="s">
        <v>152</v>
      </c>
      <c r="C31" s="74">
        <v>0.25</v>
      </c>
      <c r="D31" s="56">
        <v>0.5</v>
      </c>
      <c r="E31" s="56">
        <f t="shared" ref="E31:E33" si="20">IF(D31&gt;C31,D31-C31,C31-D31)</f>
        <v>0.25</v>
      </c>
      <c r="F31" s="56">
        <v>0.5</v>
      </c>
      <c r="G31" s="74">
        <v>0.58333333333333304</v>
      </c>
      <c r="H31" s="54">
        <f t="shared" si="17"/>
        <v>8.3333333333333398E-2</v>
      </c>
      <c r="I31" s="56"/>
      <c r="J31" s="56"/>
      <c r="K31" s="56">
        <f t="shared" ref="K31:K33" si="21">IF(J31&gt;I31,J31-I31,I31-J31)</f>
        <v>0</v>
      </c>
      <c r="L31" s="17">
        <f t="shared" ref="L31:L33" si="22">E31+H31+K31</f>
        <v>0.33333333333333298</v>
      </c>
    </row>
    <row r="32" spans="1:13" s="70" customFormat="1">
      <c r="A32" s="72" t="s">
        <v>153</v>
      </c>
      <c r="B32" s="75" t="s">
        <v>124</v>
      </c>
      <c r="C32" s="74">
        <v>0.25</v>
      </c>
      <c r="D32" s="56">
        <v>0.5</v>
      </c>
      <c r="E32" s="56">
        <f t="shared" si="20"/>
        <v>0.25</v>
      </c>
      <c r="F32" s="56">
        <v>0.5</v>
      </c>
      <c r="G32" s="74">
        <v>0.58333333333333304</v>
      </c>
      <c r="H32" s="54">
        <f t="shared" si="17"/>
        <v>8.3333333333333398E-2</v>
      </c>
      <c r="I32" s="56"/>
      <c r="J32" s="56"/>
      <c r="K32" s="56">
        <f t="shared" si="21"/>
        <v>0</v>
      </c>
      <c r="L32" s="17">
        <f t="shared" si="22"/>
        <v>0.33333333333333298</v>
      </c>
    </row>
    <row r="33" spans="1:13" s="70" customFormat="1">
      <c r="A33" s="72"/>
      <c r="B33" s="76" t="s">
        <v>154</v>
      </c>
      <c r="C33" s="74">
        <v>0.25</v>
      </c>
      <c r="D33" s="56">
        <v>0.5</v>
      </c>
      <c r="E33" s="56">
        <f t="shared" si="20"/>
        <v>0.25</v>
      </c>
      <c r="F33" s="56">
        <v>0.5</v>
      </c>
      <c r="G33" s="74">
        <v>0.58333333333333304</v>
      </c>
      <c r="H33" s="54">
        <f t="shared" si="17"/>
        <v>8.3333333333333398E-2</v>
      </c>
      <c r="I33" s="56"/>
      <c r="J33" s="56"/>
      <c r="K33" s="56">
        <f t="shared" si="21"/>
        <v>0</v>
      </c>
      <c r="L33" s="17">
        <f t="shared" si="22"/>
        <v>0.33333333333333298</v>
      </c>
    </row>
    <row r="34" spans="1:13">
      <c r="A34" s="72"/>
      <c r="B34" s="76" t="s">
        <v>155</v>
      </c>
      <c r="C34" s="74"/>
      <c r="D34" s="56"/>
      <c r="E34" s="56">
        <f t="shared" si="12"/>
        <v>0</v>
      </c>
      <c r="F34" s="56"/>
      <c r="G34" s="74"/>
      <c r="H34" s="54">
        <f t="shared" si="13"/>
        <v>0</v>
      </c>
      <c r="I34" s="56"/>
      <c r="J34" s="56"/>
      <c r="K34" s="56">
        <f>IF(J34&gt;I34,J34-I34,I34-J34)</f>
        <v>0</v>
      </c>
      <c r="L34" s="17">
        <f t="shared" si="15"/>
        <v>0</v>
      </c>
    </row>
    <row r="35" spans="1:13">
      <c r="A35" s="72" t="s">
        <v>156</v>
      </c>
      <c r="B35" s="76" t="s">
        <v>157</v>
      </c>
      <c r="C35" s="74">
        <v>0.25</v>
      </c>
      <c r="D35" s="56">
        <v>0.5</v>
      </c>
      <c r="E35" s="56">
        <f t="shared" si="12"/>
        <v>0.25</v>
      </c>
      <c r="F35" s="56">
        <v>0.5</v>
      </c>
      <c r="G35" s="74">
        <v>0.58333333333333304</v>
      </c>
      <c r="H35" s="54">
        <f t="shared" si="13"/>
        <v>8.3333333333333398E-2</v>
      </c>
      <c r="I35" s="56"/>
      <c r="J35" s="56"/>
      <c r="K35" s="56">
        <f>IF(J35&gt;I35,J35-I35,I35-J35)</f>
        <v>0</v>
      </c>
      <c r="L35" s="17">
        <f t="shared" si="15"/>
        <v>0.33333333333333298</v>
      </c>
      <c r="M35" s="70"/>
    </row>
    <row r="36" spans="1:13">
      <c r="B36" s="13"/>
      <c r="E36" s="78">
        <f>SUM(E25:E35)</f>
        <v>1.3333333333333299</v>
      </c>
      <c r="F36" s="1"/>
      <c r="G36" s="1"/>
      <c r="H36" s="78">
        <f>SUM(H25:H33)</f>
        <v>0.75</v>
      </c>
      <c r="I36" s="1"/>
      <c r="J36" s="1"/>
      <c r="K36" s="78">
        <f>SUM(K25:K33)</f>
        <v>0.83333333333333304</v>
      </c>
      <c r="L36" s="78">
        <f>SUM(L25:L33)</f>
        <v>2.6666666666666701</v>
      </c>
    </row>
    <row r="37" spans="1:13">
      <c r="B37" s="70"/>
    </row>
    <row r="38" spans="1:13">
      <c r="C38" s="2" t="s">
        <v>42</v>
      </c>
      <c r="G38" s="5" t="s">
        <v>34</v>
      </c>
      <c r="H38" s="6">
        <f>+H22+1</f>
        <v>46246</v>
      </c>
    </row>
    <row r="39" spans="1:13" s="71" customFormat="1">
      <c r="A39"/>
      <c r="B39"/>
      <c r="C39" s="168" t="s">
        <v>3</v>
      </c>
      <c r="D39" s="168"/>
      <c r="E39" s="168"/>
      <c r="F39" s="169" t="s">
        <v>4</v>
      </c>
      <c r="G39" s="169"/>
      <c r="H39" s="169"/>
      <c r="I39" s="170" t="s">
        <v>5</v>
      </c>
      <c r="J39" s="170"/>
      <c r="K39" s="170"/>
      <c r="L39"/>
      <c r="M39" s="71" t="s">
        <v>25</v>
      </c>
    </row>
    <row r="40" spans="1:13" s="71" customFormat="1">
      <c r="A40"/>
      <c r="B40" s="7" t="s">
        <v>6</v>
      </c>
      <c r="C40" s="8" t="s">
        <v>7</v>
      </c>
      <c r="D40" s="8" t="s">
        <v>8</v>
      </c>
      <c r="E40" s="8" t="s">
        <v>9</v>
      </c>
      <c r="F40" s="9" t="s">
        <v>7</v>
      </c>
      <c r="G40" s="9" t="s">
        <v>8</v>
      </c>
      <c r="H40" s="9" t="s">
        <v>9</v>
      </c>
      <c r="I40" s="16" t="s">
        <v>7</v>
      </c>
      <c r="J40" s="16" t="s">
        <v>8</v>
      </c>
      <c r="K40" s="16" t="s">
        <v>9</v>
      </c>
      <c r="L40" s="7" t="s">
        <v>10</v>
      </c>
      <c r="M40" s="70"/>
    </row>
    <row r="41" spans="1:13" s="70" customFormat="1">
      <c r="A41" s="72" t="s">
        <v>141</v>
      </c>
      <c r="B41" s="79" t="s">
        <v>142</v>
      </c>
      <c r="C41" s="56">
        <v>0.25</v>
      </c>
      <c r="D41" s="56">
        <v>0.41666666666666702</v>
      </c>
      <c r="E41" s="80">
        <f>IF(D41&gt;C41,D41-C41,C41-D41)</f>
        <v>0.16666666666666699</v>
      </c>
      <c r="F41" s="74"/>
      <c r="G41" s="56"/>
      <c r="H41" s="81">
        <f>IF(G41&gt;F41,G41-F41,F41-G41)</f>
        <v>0</v>
      </c>
      <c r="I41" s="56">
        <v>0.75</v>
      </c>
      <c r="J41" s="74">
        <v>0.91666666666666696</v>
      </c>
      <c r="K41" s="56">
        <f>IF(J41&gt;I41,J41-I41,I41-J41)</f>
        <v>0.16666666666666699</v>
      </c>
      <c r="L41" s="17">
        <f>E41+H41+K41</f>
        <v>0.33333333333333298</v>
      </c>
    </row>
    <row r="42" spans="1:13" s="70" customFormat="1">
      <c r="A42" s="72" t="s">
        <v>143</v>
      </c>
      <c r="B42" s="10" t="s">
        <v>144</v>
      </c>
      <c r="C42" s="74">
        <v>0.41666666666666702</v>
      </c>
      <c r="D42" s="56">
        <v>0.58333333333333304</v>
      </c>
      <c r="E42" s="56">
        <f>IF(D42&gt;C42,D42-C42,C42-D42)</f>
        <v>0.16666666666666699</v>
      </c>
      <c r="F42" s="56"/>
      <c r="G42" s="74"/>
      <c r="H42" s="54">
        <f>IF(G42&gt;F42,G42-F42,F42-G42)</f>
        <v>0</v>
      </c>
      <c r="I42" s="56">
        <v>0.75</v>
      </c>
      <c r="J42" s="74">
        <v>0.91666666666666696</v>
      </c>
      <c r="K42" s="56">
        <f>IF(J42&gt;I42,J42-I42,I42-J42)</f>
        <v>0.16666666666666699</v>
      </c>
      <c r="L42" s="17">
        <f>E42+H42+K42</f>
        <v>0.33333333333333298</v>
      </c>
    </row>
    <row r="43" spans="1:13" s="70" customFormat="1">
      <c r="A43" s="72" t="s">
        <v>145</v>
      </c>
      <c r="B43" s="73" t="s">
        <v>102</v>
      </c>
      <c r="C43" s="56"/>
      <c r="D43" s="56"/>
      <c r="E43" s="56">
        <f t="shared" ref="E43:E52" si="23">IF(D43&gt;C43,D43-C43,C43-D43)</f>
        <v>0</v>
      </c>
      <c r="F43" s="74">
        <v>0.58333333333333304</v>
      </c>
      <c r="G43" s="56">
        <v>0.75</v>
      </c>
      <c r="H43" s="54">
        <f t="shared" ref="H43:H52" si="24">IF(G43&gt;F43,G43-F43,F43-G43)</f>
        <v>0.16666666666666699</v>
      </c>
      <c r="I43" s="56">
        <v>0.75</v>
      </c>
      <c r="J43" s="74">
        <v>0.91666666666666696</v>
      </c>
      <c r="K43" s="56">
        <f t="shared" ref="K43:K44" si="25">IF(J43&gt;I43,J43-I43,I43-J43)</f>
        <v>0.16666666666666699</v>
      </c>
      <c r="L43" s="17">
        <f t="shared" ref="L43:L48" si="26">E43+H43+K43</f>
        <v>0.33333333333333298</v>
      </c>
    </row>
    <row r="44" spans="1:13" s="70" customFormat="1">
      <c r="A44" s="72" t="s">
        <v>143</v>
      </c>
      <c r="B44" s="73" t="s">
        <v>146</v>
      </c>
      <c r="C44" s="56"/>
      <c r="D44" s="56"/>
      <c r="E44" s="56">
        <f t="shared" si="23"/>
        <v>0</v>
      </c>
      <c r="F44" s="74">
        <v>0.58333333333333304</v>
      </c>
      <c r="G44" s="56">
        <v>0.75</v>
      </c>
      <c r="H44" s="54">
        <f t="shared" si="24"/>
        <v>0.16666666666666699</v>
      </c>
      <c r="I44" s="56">
        <v>0.75</v>
      </c>
      <c r="J44" s="74">
        <v>0.91666666666666696</v>
      </c>
      <c r="K44" s="56">
        <f t="shared" si="25"/>
        <v>0.16666666666666699</v>
      </c>
      <c r="L44" s="17">
        <f t="shared" si="26"/>
        <v>0.33333333333333298</v>
      </c>
    </row>
    <row r="45" spans="1:13" s="70" customFormat="1">
      <c r="A45" s="72" t="s">
        <v>60</v>
      </c>
      <c r="B45" s="75" t="s">
        <v>61</v>
      </c>
      <c r="C45" s="74">
        <v>0.25</v>
      </c>
      <c r="D45" s="56">
        <v>0.5</v>
      </c>
      <c r="E45" s="56">
        <f t="shared" si="23"/>
        <v>0.25</v>
      </c>
      <c r="F45" s="56">
        <v>0.5</v>
      </c>
      <c r="G45" s="74">
        <v>0.58333333333333304</v>
      </c>
      <c r="H45" s="54">
        <f t="shared" si="24"/>
        <v>8.3333333333333398E-2</v>
      </c>
      <c r="I45" s="56"/>
      <c r="J45" s="56"/>
      <c r="K45" s="56">
        <f t="shared" ref="K45:K48" si="27">IF(J45&gt;I45,J45-I45,I45-J45)</f>
        <v>0</v>
      </c>
      <c r="L45" s="17">
        <f t="shared" si="26"/>
        <v>0.33333333333333298</v>
      </c>
    </row>
    <row r="46" spans="1:13" s="70" customFormat="1">
      <c r="A46" s="72" t="s">
        <v>147</v>
      </c>
      <c r="B46" s="75" t="s">
        <v>148</v>
      </c>
      <c r="C46" s="74">
        <v>0.25</v>
      </c>
      <c r="D46" s="56">
        <v>0.5</v>
      </c>
      <c r="E46" s="56">
        <f t="shared" si="23"/>
        <v>0.25</v>
      </c>
      <c r="F46" s="56">
        <v>0.5</v>
      </c>
      <c r="G46" s="74">
        <v>0.58333333333333304</v>
      </c>
      <c r="H46" s="54">
        <f t="shared" si="24"/>
        <v>8.3333333333333398E-2</v>
      </c>
      <c r="I46" s="56"/>
      <c r="J46" s="56"/>
      <c r="K46" s="56">
        <f t="shared" si="27"/>
        <v>0</v>
      </c>
      <c r="L46" s="17">
        <f t="shared" si="26"/>
        <v>0.33333333333333298</v>
      </c>
      <c r="M46" s="71"/>
    </row>
    <row r="47" spans="1:13" s="70" customFormat="1">
      <c r="A47" s="72" t="s">
        <v>149</v>
      </c>
      <c r="B47" s="73" t="s">
        <v>150</v>
      </c>
      <c r="C47" s="56"/>
      <c r="D47" s="56"/>
      <c r="E47" s="56">
        <f t="shared" si="23"/>
        <v>0</v>
      </c>
      <c r="F47" s="74">
        <v>0.58333333333333304</v>
      </c>
      <c r="G47" s="56">
        <v>0.75</v>
      </c>
      <c r="H47" s="54">
        <f t="shared" si="24"/>
        <v>0.16666666666666699</v>
      </c>
      <c r="I47" s="56">
        <v>0.75</v>
      </c>
      <c r="J47" s="74">
        <v>0.91666666666666696</v>
      </c>
      <c r="K47" s="56">
        <f t="shared" si="27"/>
        <v>0.16666666666666699</v>
      </c>
      <c r="L47" s="17">
        <f t="shared" si="26"/>
        <v>0.33333333333333298</v>
      </c>
    </row>
    <row r="48" spans="1:13" s="71" customFormat="1">
      <c r="A48" s="72" t="s">
        <v>151</v>
      </c>
      <c r="B48" s="10" t="s">
        <v>152</v>
      </c>
      <c r="C48" s="41"/>
      <c r="D48" s="41"/>
      <c r="E48" s="41">
        <f t="shared" si="23"/>
        <v>0</v>
      </c>
      <c r="F48" s="41"/>
      <c r="G48" s="41"/>
      <c r="H48" s="40">
        <f t="shared" si="24"/>
        <v>0</v>
      </c>
      <c r="I48" s="41"/>
      <c r="J48" s="41"/>
      <c r="K48" s="41">
        <f t="shared" si="27"/>
        <v>0</v>
      </c>
      <c r="L48" s="83">
        <f t="shared" si="26"/>
        <v>0</v>
      </c>
      <c r="M48" s="71" t="s">
        <v>25</v>
      </c>
    </row>
    <row r="49" spans="1:13">
      <c r="A49" s="72" t="s">
        <v>153</v>
      </c>
      <c r="B49" s="10" t="s">
        <v>124</v>
      </c>
      <c r="C49" s="41"/>
      <c r="D49" s="41"/>
      <c r="E49" s="41">
        <f t="shared" ref="E49" si="28">IF(D49&gt;C49,D49-C49,C49-D49)</f>
        <v>0</v>
      </c>
      <c r="F49" s="41"/>
      <c r="G49" s="41"/>
      <c r="H49" s="40">
        <f t="shared" ref="H49" si="29">IF(G49&gt;F49,G49-F49,F49-G49)</f>
        <v>0</v>
      </c>
      <c r="I49" s="41"/>
      <c r="J49" s="41"/>
      <c r="K49" s="41">
        <f t="shared" ref="K49" si="30">IF(J49&gt;I49,J49-I49,I49-J49)</f>
        <v>0</v>
      </c>
      <c r="L49" s="83">
        <f t="shared" ref="L49" si="31">E49+H49+K49</f>
        <v>0</v>
      </c>
      <c r="M49" s="71" t="s">
        <v>25</v>
      </c>
    </row>
    <row r="50" spans="1:13">
      <c r="A50" s="71"/>
      <c r="B50" s="76" t="s">
        <v>154</v>
      </c>
      <c r="C50" s="41"/>
      <c r="D50" s="41"/>
      <c r="E50" s="41">
        <f t="shared" si="23"/>
        <v>0</v>
      </c>
      <c r="F50" s="41"/>
      <c r="G50" s="41"/>
      <c r="H50" s="40">
        <f t="shared" si="24"/>
        <v>0</v>
      </c>
      <c r="I50" s="41"/>
      <c r="J50" s="41"/>
      <c r="K50" s="41">
        <f t="shared" ref="K50:K52" si="32">IF(J50&gt;I50,J50-I50,I50-J50)</f>
        <v>0</v>
      </c>
      <c r="L50" s="83">
        <f t="shared" ref="L50:L52" si="33">E50+H50+K50</f>
        <v>0</v>
      </c>
      <c r="M50" s="71" t="s">
        <v>25</v>
      </c>
    </row>
    <row r="51" spans="1:13">
      <c r="A51" s="72"/>
      <c r="B51" s="76" t="s">
        <v>155</v>
      </c>
      <c r="C51" s="56"/>
      <c r="D51" s="56"/>
      <c r="E51" s="56">
        <f t="shared" si="23"/>
        <v>0</v>
      </c>
      <c r="F51" s="74">
        <v>0.58333333333333304</v>
      </c>
      <c r="G51" s="56">
        <v>0.75</v>
      </c>
      <c r="H51" s="54">
        <f t="shared" si="24"/>
        <v>0.16666666666666699</v>
      </c>
      <c r="I51" s="56">
        <v>0.75</v>
      </c>
      <c r="J51" s="74">
        <v>0.91666666666666696</v>
      </c>
      <c r="K51" s="56">
        <f t="shared" si="32"/>
        <v>0.16666666666666699</v>
      </c>
      <c r="L51" s="17">
        <f t="shared" si="33"/>
        <v>0.33333333333333298</v>
      </c>
    </row>
    <row r="52" spans="1:13">
      <c r="A52" s="72" t="s">
        <v>156</v>
      </c>
      <c r="B52" s="76" t="s">
        <v>157</v>
      </c>
      <c r="C52" s="56"/>
      <c r="D52" s="56"/>
      <c r="E52" s="56">
        <f t="shared" si="23"/>
        <v>0</v>
      </c>
      <c r="F52" s="74">
        <v>0.58333333333333304</v>
      </c>
      <c r="G52" s="56">
        <v>0.75</v>
      </c>
      <c r="H52" s="54">
        <f t="shared" si="24"/>
        <v>0.16666666666666699</v>
      </c>
      <c r="I52" s="56">
        <v>0.75</v>
      </c>
      <c r="J52" s="74">
        <v>0.91666666666666696</v>
      </c>
      <c r="K52" s="56">
        <f t="shared" si="32"/>
        <v>0.16666666666666699</v>
      </c>
      <c r="L52" s="17">
        <f t="shared" si="33"/>
        <v>0.33333333333333298</v>
      </c>
      <c r="M52" s="70"/>
    </row>
    <row r="53" spans="1:13">
      <c r="B53" s="13"/>
      <c r="E53" s="78">
        <f>SUM(E41:E52)</f>
        <v>0.83333333333333304</v>
      </c>
      <c r="F53" s="1"/>
      <c r="G53" s="1"/>
      <c r="H53" s="78">
        <f>SUM(H41:H52)</f>
        <v>1</v>
      </c>
      <c r="I53" s="1"/>
      <c r="J53" s="1"/>
      <c r="K53" s="78">
        <f>SUM(K41:K52)</f>
        <v>1.1666666666666701</v>
      </c>
      <c r="L53" s="78">
        <f>SUM(L41:L52)</f>
        <v>3</v>
      </c>
    </row>
    <row r="54" spans="1:13">
      <c r="B54" s="13"/>
      <c r="E54" s="23"/>
      <c r="F54" s="1"/>
      <c r="G54" s="1"/>
      <c r="H54" s="23"/>
      <c r="I54" s="1"/>
      <c r="J54" s="1"/>
      <c r="K54" s="23"/>
      <c r="L54" s="23"/>
    </row>
    <row r="55" spans="1:13" ht="17.25" customHeight="1">
      <c r="B55" s="13"/>
      <c r="E55" s="21"/>
      <c r="H55" s="21"/>
      <c r="K55" s="21"/>
      <c r="L55" s="23"/>
    </row>
    <row r="56" spans="1:13" s="71" customFormat="1">
      <c r="A56"/>
      <c r="B56" s="70"/>
      <c r="C56"/>
      <c r="D56"/>
      <c r="E56"/>
      <c r="F56"/>
      <c r="G56"/>
      <c r="H56"/>
      <c r="I56"/>
      <c r="J56"/>
      <c r="K56"/>
      <c r="L56"/>
    </row>
    <row r="57" spans="1:13" s="71" customFormat="1">
      <c r="A57"/>
      <c r="B57"/>
      <c r="C57" s="2" t="s">
        <v>42</v>
      </c>
      <c r="D57"/>
      <c r="E57"/>
      <c r="F57"/>
      <c r="G57" s="5" t="s">
        <v>35</v>
      </c>
      <c r="H57" s="6">
        <f>+H38+1</f>
        <v>46247</v>
      </c>
      <c r="I57"/>
      <c r="J57"/>
      <c r="K57"/>
      <c r="L57"/>
      <c r="M57" s="70"/>
    </row>
    <row r="58" spans="1:13" s="70" customFormat="1">
      <c r="A58"/>
      <c r="B58"/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  <c r="L58"/>
    </row>
    <row r="59" spans="1:13" s="70" customFormat="1">
      <c r="A59"/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3" s="70" customFormat="1">
      <c r="A60" s="72" t="s">
        <v>141</v>
      </c>
      <c r="B60" s="10" t="s">
        <v>142</v>
      </c>
      <c r="C60" s="41"/>
      <c r="D60" s="41"/>
      <c r="E60" s="80">
        <f t="shared" ref="E60:E63" si="34">IF(D60&gt;C60,D60-C60,C60-D60)</f>
        <v>0</v>
      </c>
      <c r="F60" s="41"/>
      <c r="G60" s="41"/>
      <c r="H60" s="40">
        <f t="shared" ref="H60" si="35">IF(G60&gt;F60,G60-F60,F60-G60)</f>
        <v>0</v>
      </c>
      <c r="I60" s="41"/>
      <c r="J60" s="41"/>
      <c r="K60" s="41">
        <f t="shared" ref="K60" si="36">IF(J60&gt;I60,J60-I60,I60-J60)</f>
        <v>0</v>
      </c>
      <c r="L60" s="83">
        <f t="shared" ref="L60" si="37">E60+H60+K60</f>
        <v>0</v>
      </c>
    </row>
    <row r="61" spans="1:13" s="70" customFormat="1">
      <c r="A61" s="72" t="s">
        <v>143</v>
      </c>
      <c r="B61" s="10" t="s">
        <v>144</v>
      </c>
      <c r="C61" s="74">
        <v>0.25</v>
      </c>
      <c r="D61" s="56">
        <v>0.58333333333333304</v>
      </c>
      <c r="E61" s="80">
        <f t="shared" si="34"/>
        <v>0.33333333333333298</v>
      </c>
      <c r="F61" s="175"/>
      <c r="G61" s="175"/>
      <c r="H61" s="82">
        <v>0</v>
      </c>
      <c r="I61" s="56"/>
      <c r="J61" s="74"/>
      <c r="K61" s="56">
        <f t="shared" ref="K61:K65" si="38">IF(J61&gt;I61,J61-I61,I61-J61)</f>
        <v>0</v>
      </c>
      <c r="L61" s="17">
        <f t="shared" ref="L61:L65" si="39">E61+H61+K61</f>
        <v>0.33333333333333298</v>
      </c>
    </row>
    <row r="62" spans="1:13" s="70" customFormat="1">
      <c r="A62" s="72" t="s">
        <v>145</v>
      </c>
      <c r="B62" s="73" t="s">
        <v>102</v>
      </c>
      <c r="C62" s="74">
        <v>0.25</v>
      </c>
      <c r="D62" s="56">
        <v>0.5</v>
      </c>
      <c r="E62" s="80">
        <f t="shared" si="34"/>
        <v>0.25</v>
      </c>
      <c r="F62" s="56">
        <v>0.5</v>
      </c>
      <c r="G62" s="74">
        <v>0.58333333333333304</v>
      </c>
      <c r="H62" s="54">
        <f>IF(G62&gt;F62,G62-F62,F62-G62)</f>
        <v>8.3333333333333398E-2</v>
      </c>
      <c r="I62" s="56"/>
      <c r="J62" s="56"/>
      <c r="K62" s="56">
        <f t="shared" si="38"/>
        <v>0</v>
      </c>
      <c r="L62" s="17">
        <f t="shared" si="39"/>
        <v>0.33333333333333298</v>
      </c>
    </row>
    <row r="63" spans="1:13" s="70" customFormat="1">
      <c r="A63" s="72" t="s">
        <v>143</v>
      </c>
      <c r="B63" s="73" t="s">
        <v>146</v>
      </c>
      <c r="C63" s="56">
        <v>0.25</v>
      </c>
      <c r="D63" s="56">
        <v>0.41666666666666702</v>
      </c>
      <c r="E63" s="80">
        <f t="shared" si="34"/>
        <v>0.16666666666666699</v>
      </c>
      <c r="F63" s="74"/>
      <c r="G63" s="56"/>
      <c r="H63" s="81">
        <f>IF(G63&gt;F63,G63-F63,F63-G63)</f>
        <v>0</v>
      </c>
      <c r="I63" s="56">
        <v>0.75</v>
      </c>
      <c r="J63" s="74">
        <v>0.91666666666666696</v>
      </c>
      <c r="K63" s="56">
        <f t="shared" si="38"/>
        <v>0.16666666666666699</v>
      </c>
      <c r="L63" s="17">
        <f t="shared" si="39"/>
        <v>0.33333333333333298</v>
      </c>
    </row>
    <row r="64" spans="1:13" s="70" customFormat="1">
      <c r="A64" s="72" t="s">
        <v>60</v>
      </c>
      <c r="B64" s="75" t="s">
        <v>61</v>
      </c>
      <c r="C64" s="74">
        <v>0.25</v>
      </c>
      <c r="D64" s="56">
        <v>0.5</v>
      </c>
      <c r="E64" s="80">
        <f>IF(D64&gt;C64,D64-C64,C64-D64)</f>
        <v>0.25</v>
      </c>
      <c r="F64" s="56">
        <v>0.5</v>
      </c>
      <c r="G64" s="74">
        <v>0.58333333333333304</v>
      </c>
      <c r="H64" s="54">
        <f t="shared" ref="H64:H65" si="40">IF(G64&gt;F64,G64-F64,F64-G64)</f>
        <v>8.3333333333333398E-2</v>
      </c>
      <c r="I64" s="56"/>
      <c r="J64" s="56"/>
      <c r="K64" s="56">
        <f t="shared" si="38"/>
        <v>0</v>
      </c>
      <c r="L64" s="17">
        <f t="shared" si="39"/>
        <v>0.33333333333333298</v>
      </c>
      <c r="M64" s="71"/>
    </row>
    <row r="65" spans="1:16" s="70" customFormat="1">
      <c r="A65" s="72" t="s">
        <v>147</v>
      </c>
      <c r="B65" s="75" t="s">
        <v>148</v>
      </c>
      <c r="C65" s="56"/>
      <c r="D65" s="56"/>
      <c r="E65" s="56">
        <f>IF(D65&gt;C65,D65-C65,C65-D65)</f>
        <v>0</v>
      </c>
      <c r="F65" s="74">
        <v>0.58333333333333304</v>
      </c>
      <c r="G65" s="56">
        <v>0.75</v>
      </c>
      <c r="H65" s="54">
        <f t="shared" si="40"/>
        <v>0.16666666666666699</v>
      </c>
      <c r="I65" s="56">
        <v>0.75</v>
      </c>
      <c r="J65" s="74">
        <v>0.91666666666666696</v>
      </c>
      <c r="K65" s="56">
        <f t="shared" si="38"/>
        <v>0.16666666666666699</v>
      </c>
      <c r="L65" s="17">
        <f t="shared" si="39"/>
        <v>0.33333333333333298</v>
      </c>
      <c r="M65"/>
    </row>
    <row r="66" spans="1:16">
      <c r="A66" s="72" t="s">
        <v>149</v>
      </c>
      <c r="B66" s="73" t="s">
        <v>150</v>
      </c>
      <c r="C66" s="56"/>
      <c r="D66" s="56"/>
      <c r="E66" s="56">
        <f t="shared" ref="E66:E68" si="41">IF(D66&gt;C66,D66-C66,C66-D66)</f>
        <v>0</v>
      </c>
      <c r="F66" s="74">
        <v>0.58333333333333304</v>
      </c>
      <c r="G66" s="56">
        <v>0.75</v>
      </c>
      <c r="H66" s="54">
        <f t="shared" ref="H66:H68" si="42">IF(G66&gt;F66,G66-F66,F66-G66)</f>
        <v>0.16666666666666699</v>
      </c>
      <c r="I66" s="56">
        <v>0.75</v>
      </c>
      <c r="J66" s="74">
        <v>0.91666666666666696</v>
      </c>
      <c r="K66" s="56">
        <f t="shared" ref="K66:K68" si="43">IF(J66&gt;I66,J66-I66,I66-J66)</f>
        <v>0.16666666666666699</v>
      </c>
      <c r="L66" s="17">
        <f t="shared" ref="L66:L68" si="44">E66+H66+K66</f>
        <v>0.33333333333333298</v>
      </c>
    </row>
    <row r="67" spans="1:16">
      <c r="A67" s="72" t="s">
        <v>151</v>
      </c>
      <c r="B67" s="75" t="s">
        <v>152</v>
      </c>
      <c r="C67" s="74">
        <v>0.25</v>
      </c>
      <c r="D67" s="56">
        <v>0.5</v>
      </c>
      <c r="E67" s="80">
        <f t="shared" si="41"/>
        <v>0.25</v>
      </c>
      <c r="F67" s="56">
        <v>0.5</v>
      </c>
      <c r="G67" s="74">
        <v>0.58333333333333304</v>
      </c>
      <c r="H67" s="54">
        <f t="shared" si="42"/>
        <v>8.3333333333333398E-2</v>
      </c>
      <c r="I67" s="56"/>
      <c r="J67" s="56"/>
      <c r="K67" s="56">
        <f t="shared" si="43"/>
        <v>0</v>
      </c>
      <c r="L67" s="17">
        <f t="shared" si="44"/>
        <v>0.33333333333333298</v>
      </c>
      <c r="M67" s="70"/>
    </row>
    <row r="68" spans="1:16">
      <c r="A68" s="72" t="s">
        <v>153</v>
      </c>
      <c r="B68" s="79" t="s">
        <v>124</v>
      </c>
      <c r="C68" s="56"/>
      <c r="D68" s="56"/>
      <c r="E68" s="56">
        <f t="shared" si="41"/>
        <v>0</v>
      </c>
      <c r="F68" s="74">
        <v>0.58333333333333304</v>
      </c>
      <c r="G68" s="56">
        <v>0.75</v>
      </c>
      <c r="H68" s="54">
        <f t="shared" si="42"/>
        <v>0.16666666666666699</v>
      </c>
      <c r="I68" s="56">
        <v>0.75</v>
      </c>
      <c r="J68" s="74">
        <v>0.91666666666666696</v>
      </c>
      <c r="K68" s="56">
        <f t="shared" si="43"/>
        <v>0.16666666666666699</v>
      </c>
      <c r="L68" s="17">
        <f t="shared" si="44"/>
        <v>0.33333333333333298</v>
      </c>
    </row>
    <row r="69" spans="1:16">
      <c r="A69" s="72"/>
      <c r="B69" s="79" t="s">
        <v>154</v>
      </c>
      <c r="C69" s="56"/>
      <c r="D69" s="56"/>
      <c r="E69" s="56">
        <f t="shared" ref="E69:E71" si="45">IF(D69&gt;C69,D69-C69,C69-D69)</f>
        <v>0</v>
      </c>
      <c r="F69" s="74">
        <v>0.58333333333333304</v>
      </c>
      <c r="G69" s="56">
        <v>0.75</v>
      </c>
      <c r="H69" s="54">
        <f t="shared" ref="H69:H71" si="46">IF(G69&gt;F69,G69-F69,F69-G69)</f>
        <v>0.16666666666666699</v>
      </c>
      <c r="I69" s="56">
        <v>0.75</v>
      </c>
      <c r="J69" s="74">
        <v>0.91666666666666696</v>
      </c>
      <c r="K69" s="56">
        <f t="shared" ref="K69:K71" si="47">IF(J69&gt;I69,J69-I69,I69-J69)</f>
        <v>0.16666666666666699</v>
      </c>
      <c r="L69" s="17">
        <f t="shared" ref="L69:L71" si="48">E69+H69+K69</f>
        <v>0.33333333333333298</v>
      </c>
    </row>
    <row r="70" spans="1:16">
      <c r="A70" s="72"/>
      <c r="B70" s="76" t="s">
        <v>155</v>
      </c>
      <c r="C70" s="56"/>
      <c r="D70" s="56"/>
      <c r="E70" s="56">
        <f t="shared" si="45"/>
        <v>0</v>
      </c>
      <c r="F70" s="74">
        <v>0.58333333333333304</v>
      </c>
      <c r="G70" s="56">
        <v>0.75</v>
      </c>
      <c r="H70" s="54">
        <f t="shared" si="46"/>
        <v>0.16666666666666699</v>
      </c>
      <c r="I70" s="56">
        <v>0.75</v>
      </c>
      <c r="J70" s="74">
        <v>0.91666666666666696</v>
      </c>
      <c r="K70" s="56">
        <f t="shared" si="47"/>
        <v>0.16666666666666699</v>
      </c>
      <c r="L70" s="17">
        <f t="shared" si="48"/>
        <v>0.33333333333333298</v>
      </c>
    </row>
    <row r="71" spans="1:16">
      <c r="A71" s="72" t="s">
        <v>156</v>
      </c>
      <c r="B71" s="76" t="s">
        <v>157</v>
      </c>
      <c r="C71" s="74">
        <v>0.25</v>
      </c>
      <c r="D71" s="56">
        <v>0.5</v>
      </c>
      <c r="E71" s="80">
        <f t="shared" si="45"/>
        <v>0.25</v>
      </c>
      <c r="F71" s="56">
        <v>0.5</v>
      </c>
      <c r="G71" s="74">
        <v>0.58333333333333304</v>
      </c>
      <c r="H71" s="54">
        <f t="shared" si="46"/>
        <v>8.3333333333333398E-2</v>
      </c>
      <c r="I71" s="56"/>
      <c r="J71" s="56"/>
      <c r="K71" s="56">
        <f t="shared" si="47"/>
        <v>0</v>
      </c>
      <c r="L71" s="17">
        <f t="shared" si="48"/>
        <v>0.33333333333333298</v>
      </c>
      <c r="M71" s="70"/>
    </row>
    <row r="72" spans="1:16" s="71" customFormat="1">
      <c r="A72"/>
      <c r="B72" s="13"/>
      <c r="C72"/>
      <c r="D72"/>
      <c r="E72" s="84">
        <f>SUM(E60:E71)</f>
        <v>1.5</v>
      </c>
      <c r="F72" s="1"/>
      <c r="G72" s="1"/>
      <c r="H72" s="78">
        <f>SUM(H60:H71)</f>
        <v>1.1666666666666701</v>
      </c>
      <c r="I72" s="1"/>
      <c r="J72" s="1"/>
      <c r="K72" s="78">
        <f>SUM(K61:K71)</f>
        <v>1</v>
      </c>
      <c r="L72" s="78">
        <f>SUM(L61:L71)</f>
        <v>3.6666666666666701</v>
      </c>
      <c r="M72" s="70"/>
    </row>
    <row r="73" spans="1:16" s="71" customFormat="1">
      <c r="A73"/>
      <c r="B73" s="13"/>
      <c r="C73"/>
      <c r="D73"/>
      <c r="E73" s="21"/>
      <c r="F73"/>
      <c r="G73"/>
      <c r="H73" s="21"/>
      <c r="I73"/>
      <c r="J73"/>
      <c r="K73" s="21"/>
      <c r="L73" s="23"/>
      <c r="M73" s="70"/>
    </row>
    <row r="74" spans="1:16" s="70" customFormat="1">
      <c r="A74"/>
      <c r="C74"/>
      <c r="D74"/>
      <c r="E74"/>
      <c r="F74"/>
      <c r="G74"/>
      <c r="H74"/>
      <c r="I74"/>
      <c r="J74"/>
      <c r="K74"/>
      <c r="L74"/>
    </row>
    <row r="75" spans="1:16" s="70" customFormat="1">
      <c r="A75"/>
      <c r="B75"/>
      <c r="C75" s="2" t="s">
        <v>42</v>
      </c>
      <c r="D75"/>
      <c r="E75"/>
      <c r="F75"/>
      <c r="G75" s="5" t="s">
        <v>36</v>
      </c>
      <c r="H75" s="6">
        <f>+H57+1</f>
        <v>46248</v>
      </c>
      <c r="I75"/>
      <c r="J75"/>
      <c r="K75"/>
      <c r="L75"/>
    </row>
    <row r="76" spans="1:16" s="70" customFormat="1">
      <c r="A76"/>
      <c r="B76"/>
      <c r="C76" s="168" t="s">
        <v>3</v>
      </c>
      <c r="D76" s="168"/>
      <c r="E76" s="168"/>
      <c r="F76" s="169" t="s">
        <v>4</v>
      </c>
      <c r="G76" s="169"/>
      <c r="H76" s="169"/>
      <c r="I76" s="170" t="s">
        <v>5</v>
      </c>
      <c r="J76" s="170"/>
      <c r="K76" s="170"/>
      <c r="L76"/>
      <c r="M76" s="71" t="s">
        <v>25</v>
      </c>
    </row>
    <row r="77" spans="1:16" s="70" customFormat="1">
      <c r="A77"/>
      <c r="B77" s="7" t="s">
        <v>6</v>
      </c>
      <c r="C77" s="8" t="s">
        <v>7</v>
      </c>
      <c r="D77" s="8" t="s">
        <v>8</v>
      </c>
      <c r="E77" s="8" t="s">
        <v>9</v>
      </c>
      <c r="F77" s="9" t="s">
        <v>7</v>
      </c>
      <c r="G77" s="9" t="s">
        <v>8</v>
      </c>
      <c r="H77" s="9" t="s">
        <v>9</v>
      </c>
      <c r="I77" s="16" t="s">
        <v>7</v>
      </c>
      <c r="J77" s="16" t="s">
        <v>8</v>
      </c>
      <c r="K77" s="16" t="s">
        <v>9</v>
      </c>
      <c r="L77" s="7" t="s">
        <v>10</v>
      </c>
    </row>
    <row r="78" spans="1:16" s="70" customFormat="1">
      <c r="A78" s="72" t="s">
        <v>141</v>
      </c>
      <c r="B78" s="73" t="s">
        <v>142</v>
      </c>
      <c r="C78" s="56"/>
      <c r="D78" s="56"/>
      <c r="E78" s="56">
        <f>IF(D78&gt;C78,D78-C78,C78-D78)</f>
        <v>0</v>
      </c>
      <c r="F78" s="74">
        <v>0.58333333333333304</v>
      </c>
      <c r="G78" s="56">
        <v>0.75</v>
      </c>
      <c r="H78" s="54">
        <f>IF(G78&gt;F78,G78-F78,F78-G78)</f>
        <v>0.16666666666666699</v>
      </c>
      <c r="I78" s="56">
        <v>0.75</v>
      </c>
      <c r="J78" s="74">
        <v>0.91666666666666696</v>
      </c>
      <c r="K78" s="56">
        <f>IF(J78&gt;I78,J78-I78,I78-J78)</f>
        <v>0.16666666666666699</v>
      </c>
      <c r="L78" s="17">
        <f>E78+H78+K78</f>
        <v>0.33333333333333298</v>
      </c>
      <c r="N78" s="71"/>
      <c r="O78" s="71"/>
      <c r="P78" s="71"/>
    </row>
    <row r="79" spans="1:16" s="70" customFormat="1">
      <c r="A79" s="72" t="s">
        <v>143</v>
      </c>
      <c r="B79" s="10" t="s">
        <v>144</v>
      </c>
      <c r="C79" s="74">
        <v>0.25</v>
      </c>
      <c r="D79" s="56">
        <v>0.5</v>
      </c>
      <c r="E79" s="80">
        <f t="shared" ref="E79:E80" si="49">IF(D79&gt;C79,D79-C79,C79-D79)</f>
        <v>0.25</v>
      </c>
      <c r="F79" s="56">
        <v>0.5</v>
      </c>
      <c r="G79" s="74">
        <v>0.58333333333333304</v>
      </c>
      <c r="H79" s="54">
        <f t="shared" ref="H79:H80" si="50">IF(G79&gt;F79,G79-F79,F79-G79)</f>
        <v>8.3333333333333398E-2</v>
      </c>
      <c r="I79" s="56"/>
      <c r="J79" s="56"/>
      <c r="K79" s="56">
        <f t="shared" ref="K79:K80" si="51">IF(J79&gt;I79,J79-I79,I79-J79)</f>
        <v>0</v>
      </c>
      <c r="L79" s="17">
        <f t="shared" ref="L79:L80" si="52">E79+H79+K79</f>
        <v>0.33333333333333298</v>
      </c>
    </row>
    <row r="80" spans="1:16" s="70" customFormat="1">
      <c r="A80" s="72" t="s">
        <v>145</v>
      </c>
      <c r="B80" s="79" t="s">
        <v>102</v>
      </c>
      <c r="C80" s="56"/>
      <c r="D80" s="56"/>
      <c r="E80" s="56">
        <f t="shared" si="49"/>
        <v>0</v>
      </c>
      <c r="F80" s="74">
        <v>0.58333333333333304</v>
      </c>
      <c r="G80" s="56">
        <v>0.75</v>
      </c>
      <c r="H80" s="54">
        <f t="shared" si="50"/>
        <v>0.16666666666666699</v>
      </c>
      <c r="I80" s="56">
        <v>0.75</v>
      </c>
      <c r="J80" s="74">
        <v>0.91666666666666696</v>
      </c>
      <c r="K80" s="56">
        <f t="shared" si="51"/>
        <v>0.16666666666666699</v>
      </c>
      <c r="L80" s="17">
        <f t="shared" si="52"/>
        <v>0.33333333333333298</v>
      </c>
      <c r="N80" s="71"/>
      <c r="O80" s="71"/>
      <c r="P80" s="71"/>
    </row>
    <row r="81" spans="1:16">
      <c r="A81" s="72" t="s">
        <v>143</v>
      </c>
      <c r="B81" s="73" t="s">
        <v>146</v>
      </c>
      <c r="C81" s="56"/>
      <c r="D81" s="56"/>
      <c r="E81" s="56">
        <f t="shared" ref="E81" si="53">IF(D81&gt;C81,D81-C81,C81-D81)</f>
        <v>0</v>
      </c>
      <c r="F81" s="74">
        <v>0.58333333333333304</v>
      </c>
      <c r="G81" s="56">
        <v>0.75</v>
      </c>
      <c r="H81" s="54">
        <f t="shared" ref="H81" si="54">IF(G81&gt;F81,G81-F81,F81-G81)</f>
        <v>0.16666666666666699</v>
      </c>
      <c r="I81" s="56">
        <v>0.75</v>
      </c>
      <c r="J81" s="74">
        <v>0.91666666666666696</v>
      </c>
      <c r="K81" s="56">
        <f t="shared" ref="K81" si="55">IF(J81&gt;I81,J81-I81,I81-J81)</f>
        <v>0.16666666666666699</v>
      </c>
      <c r="L81" s="17">
        <f t="shared" ref="L81" si="56">E81+H81+K81</f>
        <v>0.33333333333333298</v>
      </c>
      <c r="M81" s="70"/>
      <c r="N81" s="71"/>
      <c r="O81" s="71"/>
      <c r="P81" s="71"/>
    </row>
    <row r="82" spans="1:16">
      <c r="A82" s="72" t="s">
        <v>147</v>
      </c>
      <c r="B82" s="10" t="s">
        <v>148</v>
      </c>
      <c r="C82" s="41"/>
      <c r="D82" s="41"/>
      <c r="E82" s="41">
        <f t="shared" ref="E82:E85" si="57">IF(D82&gt;C82,D82-C82,C82-D82)</f>
        <v>0</v>
      </c>
      <c r="F82" s="41"/>
      <c r="G82" s="41"/>
      <c r="H82" s="40">
        <f t="shared" ref="H82:H85" si="58">IF(G82&gt;F82,G82-F82,F82-G82)</f>
        <v>0</v>
      </c>
      <c r="I82" s="41"/>
      <c r="J82" s="41"/>
      <c r="K82" s="41">
        <f t="shared" ref="K82:K85" si="59">IF(J82&gt;I82,J82-I82,I82-J82)</f>
        <v>0</v>
      </c>
      <c r="L82" s="83">
        <f t="shared" ref="L82:L85" si="60">E82+H82+K82</f>
        <v>0</v>
      </c>
    </row>
    <row r="83" spans="1:16">
      <c r="A83" s="72" t="s">
        <v>149</v>
      </c>
      <c r="B83" s="73" t="s">
        <v>150</v>
      </c>
      <c r="C83" s="56"/>
      <c r="D83" s="56"/>
      <c r="E83" s="56">
        <f t="shared" si="57"/>
        <v>0</v>
      </c>
      <c r="F83" s="74">
        <v>0.58333333333333304</v>
      </c>
      <c r="G83" s="56">
        <v>0.75</v>
      </c>
      <c r="H83" s="54">
        <f t="shared" si="58"/>
        <v>0.16666666666666699</v>
      </c>
      <c r="I83" s="56">
        <v>0.75</v>
      </c>
      <c r="J83" s="74">
        <v>0.91666666666666696</v>
      </c>
      <c r="K83" s="56">
        <f t="shared" si="59"/>
        <v>0.16666666666666699</v>
      </c>
      <c r="L83" s="17">
        <f t="shared" si="60"/>
        <v>0.33333333333333298</v>
      </c>
      <c r="M83" s="70"/>
      <c r="N83" s="71"/>
      <c r="O83" s="71"/>
      <c r="P83" s="71"/>
    </row>
    <row r="84" spans="1:16">
      <c r="A84" s="72" t="s">
        <v>151</v>
      </c>
      <c r="B84" s="75" t="s">
        <v>152</v>
      </c>
      <c r="C84" s="74">
        <v>0.25</v>
      </c>
      <c r="D84" s="56">
        <v>0.5</v>
      </c>
      <c r="E84" s="80">
        <f t="shared" si="57"/>
        <v>0.25</v>
      </c>
      <c r="F84" s="56">
        <v>0.5</v>
      </c>
      <c r="G84" s="74">
        <v>0.58333333333333304</v>
      </c>
      <c r="H84" s="54">
        <f t="shared" si="58"/>
        <v>8.3333333333333398E-2</v>
      </c>
      <c r="I84" s="56"/>
      <c r="J84" s="56"/>
      <c r="K84" s="56">
        <f t="shared" si="59"/>
        <v>0</v>
      </c>
      <c r="L84" s="17">
        <f t="shared" si="60"/>
        <v>0.33333333333333298</v>
      </c>
      <c r="M84" s="70"/>
    </row>
    <row r="85" spans="1:16">
      <c r="A85" s="72" t="s">
        <v>153</v>
      </c>
      <c r="B85" s="75" t="s">
        <v>124</v>
      </c>
      <c r="C85" s="74">
        <v>0.25</v>
      </c>
      <c r="D85" s="56">
        <v>0.5</v>
      </c>
      <c r="E85" s="80">
        <f t="shared" si="57"/>
        <v>0.25</v>
      </c>
      <c r="F85" s="56">
        <v>0.5</v>
      </c>
      <c r="G85" s="74">
        <v>0.58333333333333304</v>
      </c>
      <c r="H85" s="54">
        <f t="shared" si="58"/>
        <v>8.3333333333333398E-2</v>
      </c>
      <c r="I85" s="56"/>
      <c r="J85" s="56"/>
      <c r="K85" s="56">
        <f t="shared" si="59"/>
        <v>0</v>
      </c>
      <c r="L85" s="17">
        <f t="shared" si="60"/>
        <v>0.33333333333333298</v>
      </c>
      <c r="M85" s="70"/>
    </row>
    <row r="86" spans="1:16" s="71" customFormat="1">
      <c r="A86" s="72"/>
      <c r="B86" s="79" t="s">
        <v>154</v>
      </c>
      <c r="C86" s="74">
        <v>0.25</v>
      </c>
      <c r="D86" s="56">
        <v>0.5</v>
      </c>
      <c r="E86" s="80">
        <f t="shared" ref="E86:E88" si="61">IF(D86&gt;C86,D86-C86,C86-D86)</f>
        <v>0.25</v>
      </c>
      <c r="F86" s="56">
        <v>0.5</v>
      </c>
      <c r="G86" s="74">
        <v>0.58333333333333304</v>
      </c>
      <c r="H86" s="54">
        <f t="shared" ref="H86:H88" si="62">IF(G86&gt;F86,G86-F86,F86-G86)</f>
        <v>8.3333333333333398E-2</v>
      </c>
      <c r="I86" s="56"/>
      <c r="J86" s="56"/>
      <c r="K86" s="56">
        <f t="shared" ref="K86:K88" si="63">IF(J86&gt;I86,J86-I86,I86-J86)</f>
        <v>0</v>
      </c>
      <c r="L86" s="17">
        <f t="shared" ref="L86:L88" si="64">E86+H86+K86</f>
        <v>0.33333333333333298</v>
      </c>
      <c r="M86" s="70"/>
    </row>
    <row r="87" spans="1:16" s="71" customFormat="1">
      <c r="A87" s="72"/>
      <c r="B87" s="76" t="s">
        <v>155</v>
      </c>
      <c r="C87" s="56"/>
      <c r="D87" s="56"/>
      <c r="E87" s="56">
        <f t="shared" si="61"/>
        <v>0</v>
      </c>
      <c r="F87" s="74"/>
      <c r="G87" s="56"/>
      <c r="H87" s="54">
        <f t="shared" si="62"/>
        <v>0</v>
      </c>
      <c r="I87" s="56"/>
      <c r="J87" s="74"/>
      <c r="K87" s="56">
        <f t="shared" si="63"/>
        <v>0</v>
      </c>
      <c r="L87" s="17">
        <f t="shared" si="64"/>
        <v>0</v>
      </c>
      <c r="M87" s="70"/>
    </row>
    <row r="88" spans="1:16" s="70" customFormat="1">
      <c r="A88" s="72" t="s">
        <v>156</v>
      </c>
      <c r="B88" s="76" t="s">
        <v>157</v>
      </c>
      <c r="C88" s="74">
        <v>0.25</v>
      </c>
      <c r="D88" s="56">
        <v>0.5</v>
      </c>
      <c r="E88" s="80">
        <f t="shared" si="61"/>
        <v>0.25</v>
      </c>
      <c r="F88" s="56">
        <v>0.5</v>
      </c>
      <c r="G88" s="74">
        <v>0.58333333333333304</v>
      </c>
      <c r="H88" s="54">
        <f t="shared" si="62"/>
        <v>8.3333333333333398E-2</v>
      </c>
      <c r="I88" s="56"/>
      <c r="J88" s="56"/>
      <c r="K88" s="56">
        <f t="shared" si="63"/>
        <v>0</v>
      </c>
      <c r="L88" s="17">
        <f t="shared" si="64"/>
        <v>0.33333333333333298</v>
      </c>
    </row>
    <row r="89" spans="1:16" s="70" customFormat="1">
      <c r="A89"/>
      <c r="C89"/>
      <c r="D89"/>
      <c r="E89" s="78">
        <f>SUM(E78:E88)</f>
        <v>1.25</v>
      </c>
      <c r="F89" s="1"/>
      <c r="G89" s="1"/>
      <c r="H89" s="78">
        <f>SUM(H78:H88)</f>
        <v>1.0833333333333299</v>
      </c>
      <c r="I89" s="1"/>
      <c r="J89" s="1"/>
      <c r="K89" s="78">
        <f>SUM(K78:K88)</f>
        <v>0.66666666666666696</v>
      </c>
      <c r="L89" s="78">
        <f>SUM(L78:L88)</f>
        <v>3</v>
      </c>
    </row>
    <row r="90" spans="1:16" s="70" customFormat="1">
      <c r="A90"/>
      <c r="C90"/>
      <c r="D90"/>
      <c r="E90"/>
      <c r="F90"/>
      <c r="G90"/>
      <c r="H90"/>
      <c r="I90"/>
      <c r="J90"/>
      <c r="K90"/>
      <c r="L90"/>
    </row>
    <row r="91" spans="1:16" s="70" customFormat="1">
      <c r="A91"/>
      <c r="B91"/>
      <c r="C91" s="2" t="s">
        <v>42</v>
      </c>
      <c r="D91"/>
      <c r="E91"/>
      <c r="F91"/>
      <c r="G91" s="5" t="s">
        <v>37</v>
      </c>
      <c r="H91" s="6">
        <f>+H75+1</f>
        <v>46249</v>
      </c>
      <c r="I91"/>
      <c r="J91"/>
      <c r="K91"/>
      <c r="L91"/>
    </row>
    <row r="92" spans="1:16" s="70" customFormat="1">
      <c r="A92"/>
      <c r="B92"/>
      <c r="C92" s="168" t="s">
        <v>3</v>
      </c>
      <c r="D92" s="168"/>
      <c r="E92" s="168"/>
      <c r="F92" s="169" t="s">
        <v>4</v>
      </c>
      <c r="G92" s="169"/>
      <c r="H92" s="169"/>
      <c r="I92" s="170" t="s">
        <v>5</v>
      </c>
      <c r="J92" s="170"/>
      <c r="K92" s="170"/>
      <c r="L92"/>
    </row>
    <row r="93" spans="1:16" s="70" customFormat="1">
      <c r="A93"/>
      <c r="B93" s="7" t="s">
        <v>6</v>
      </c>
      <c r="C93" s="8" t="s">
        <v>7</v>
      </c>
      <c r="D93" s="8" t="s">
        <v>8</v>
      </c>
      <c r="E93" s="8" t="s">
        <v>9</v>
      </c>
      <c r="F93" s="9" t="s">
        <v>7</v>
      </c>
      <c r="G93" s="9" t="s">
        <v>8</v>
      </c>
      <c r="H93" s="9" t="s">
        <v>9</v>
      </c>
      <c r="I93" s="16" t="s">
        <v>7</v>
      </c>
      <c r="J93" s="16" t="s">
        <v>8</v>
      </c>
      <c r="K93" s="16" t="s">
        <v>9</v>
      </c>
      <c r="L93" s="7" t="s">
        <v>10</v>
      </c>
    </row>
    <row r="94" spans="1:16" s="70" customFormat="1">
      <c r="A94" s="72" t="s">
        <v>141</v>
      </c>
      <c r="B94" s="73" t="s">
        <v>142</v>
      </c>
      <c r="C94" s="74">
        <v>0.25</v>
      </c>
      <c r="D94" s="56">
        <v>0.5</v>
      </c>
      <c r="E94" s="56">
        <f t="shared" ref="E94:E96" si="65">IF(D94&gt;C94,D94-C94,C94-D94)</f>
        <v>0.25</v>
      </c>
      <c r="F94" s="56">
        <v>0.5</v>
      </c>
      <c r="G94" s="74">
        <v>0.58333333333333304</v>
      </c>
      <c r="H94" s="54">
        <f t="shared" ref="H94:H96" si="66">IF(G94&gt;F94,G94-F94,F94-G94)</f>
        <v>8.3333333333333398E-2</v>
      </c>
      <c r="I94" s="56"/>
      <c r="J94" s="56"/>
      <c r="K94" s="56">
        <f t="shared" ref="K94:K96" si="67">IF(J94&gt;I94,J94-I94,I94-J94)</f>
        <v>0</v>
      </c>
      <c r="L94" s="17">
        <f t="shared" ref="L94:L96" si="68">E94+H94+K94</f>
        <v>0.33333333333333298</v>
      </c>
    </row>
    <row r="95" spans="1:16" s="70" customFormat="1">
      <c r="A95" s="72" t="s">
        <v>143</v>
      </c>
      <c r="B95" s="10" t="s">
        <v>144</v>
      </c>
      <c r="C95" s="56">
        <v>0.25</v>
      </c>
      <c r="D95" s="56">
        <v>0.41666666666666702</v>
      </c>
      <c r="E95" s="80">
        <f t="shared" si="65"/>
        <v>0.16666666666666699</v>
      </c>
      <c r="F95" s="74"/>
      <c r="G95" s="56"/>
      <c r="H95" s="81">
        <f t="shared" si="66"/>
        <v>0</v>
      </c>
      <c r="I95" s="56">
        <v>0.75</v>
      </c>
      <c r="J95" s="74">
        <v>0.91666666666666696</v>
      </c>
      <c r="K95" s="56">
        <f t="shared" si="67"/>
        <v>0.16666666666666699</v>
      </c>
      <c r="L95" s="17">
        <f t="shared" si="68"/>
        <v>0.33333333333333298</v>
      </c>
    </row>
    <row r="96" spans="1:16">
      <c r="A96" s="72" t="s">
        <v>145</v>
      </c>
      <c r="B96" s="79" t="s">
        <v>102</v>
      </c>
      <c r="C96" s="74">
        <v>0.25</v>
      </c>
      <c r="D96" s="56">
        <v>0.5</v>
      </c>
      <c r="E96" s="56">
        <f t="shared" si="65"/>
        <v>0.25</v>
      </c>
      <c r="F96" s="56">
        <v>0.5</v>
      </c>
      <c r="G96" s="74">
        <v>0.58333333333333304</v>
      </c>
      <c r="H96" s="54">
        <f t="shared" si="66"/>
        <v>8.3333333333333398E-2</v>
      </c>
      <c r="I96" s="56"/>
      <c r="J96" s="56"/>
      <c r="K96" s="56">
        <f t="shared" si="67"/>
        <v>0</v>
      </c>
      <c r="L96" s="17">
        <f t="shared" si="68"/>
        <v>0.33333333333333298</v>
      </c>
      <c r="M96" s="70"/>
      <c r="N96" s="70"/>
      <c r="O96" s="70"/>
    </row>
    <row r="97" spans="1:15">
      <c r="A97" s="72" t="s">
        <v>143</v>
      </c>
      <c r="B97" s="75" t="s">
        <v>146</v>
      </c>
      <c r="C97" s="56"/>
      <c r="D97" s="56"/>
      <c r="E97" s="56">
        <f>IF(D97&gt;C97,D97-C97,C97-D97)</f>
        <v>0</v>
      </c>
      <c r="F97" s="74">
        <v>0.58333333333333304</v>
      </c>
      <c r="G97" s="56">
        <v>0.75</v>
      </c>
      <c r="H97" s="54">
        <f>IF(G97&gt;F97,G97-F97,F97-G97)</f>
        <v>0.16666666666666699</v>
      </c>
      <c r="I97" s="56">
        <v>0.75</v>
      </c>
      <c r="J97" s="74">
        <v>0.91666666666666696</v>
      </c>
      <c r="K97" s="56">
        <f>IF(J97&gt;I97,J97-I97,I97-J97)</f>
        <v>0.16666666666666699</v>
      </c>
      <c r="L97" s="17">
        <f>E97+H97+K97</f>
        <v>0.33333333333333298</v>
      </c>
    </row>
    <row r="98" spans="1:15">
      <c r="A98" s="72" t="s">
        <v>60</v>
      </c>
      <c r="B98" s="75" t="s">
        <v>61</v>
      </c>
      <c r="C98" s="74"/>
      <c r="D98" s="56"/>
      <c r="E98" s="56"/>
      <c r="F98" s="56"/>
      <c r="G98" s="74"/>
      <c r="H98" s="54"/>
      <c r="I98" s="56"/>
      <c r="J98" s="56"/>
      <c r="K98" s="56"/>
      <c r="L98" s="17"/>
    </row>
    <row r="99" spans="1:15">
      <c r="A99" s="72" t="s">
        <v>147</v>
      </c>
      <c r="B99" s="75" t="s">
        <v>148</v>
      </c>
      <c r="C99" s="56"/>
      <c r="D99" s="56"/>
      <c r="E99" s="56">
        <f>IF(D99&gt;C99,D99-C99,C99-D99)</f>
        <v>0</v>
      </c>
      <c r="F99" s="74">
        <v>0.58333333333333304</v>
      </c>
      <c r="G99" s="56">
        <v>0.75</v>
      </c>
      <c r="H99" s="54">
        <f>IF(G99&gt;F99,G99-F99,F99-G99)</f>
        <v>0.16666666666666699</v>
      </c>
      <c r="I99" s="56">
        <v>0.75</v>
      </c>
      <c r="J99" s="74">
        <v>0.91666666666666696</v>
      </c>
      <c r="K99" s="56">
        <f>IF(J99&gt;I99,J99-I99,I99-J99)</f>
        <v>0.16666666666666699</v>
      </c>
      <c r="L99" s="17">
        <f>E99+H99+K99</f>
        <v>0.33333333333333298</v>
      </c>
    </row>
    <row r="100" spans="1:15">
      <c r="A100" s="72" t="s">
        <v>149</v>
      </c>
      <c r="B100" s="73" t="s">
        <v>150</v>
      </c>
      <c r="C100" s="56"/>
      <c r="D100" s="56"/>
      <c r="E100" s="56">
        <f t="shared" ref="E100:E102" si="69">IF(D100&gt;C100,D100-C100,C100-D100)</f>
        <v>0</v>
      </c>
      <c r="F100" s="74">
        <v>0.58333333333333304</v>
      </c>
      <c r="G100" s="56">
        <v>0.75</v>
      </c>
      <c r="H100" s="54">
        <f t="shared" ref="H100:H102" si="70">IF(G100&gt;F100,G100-F100,F100-G100)</f>
        <v>0.16666666666666699</v>
      </c>
      <c r="I100" s="56">
        <v>0.75</v>
      </c>
      <c r="J100" s="74">
        <v>0.91666666666666696</v>
      </c>
      <c r="K100" s="56">
        <f t="shared" ref="K100:K102" si="71">IF(J100&gt;I100,J100-I100,I100-J100)</f>
        <v>0.16666666666666699</v>
      </c>
      <c r="L100" s="17">
        <f t="shared" ref="L100:L102" si="72">E100+H100+K100</f>
        <v>0.33333333333333298</v>
      </c>
    </row>
    <row r="101" spans="1:15" s="71" customFormat="1">
      <c r="A101" s="72" t="s">
        <v>151</v>
      </c>
      <c r="B101" s="75" t="s">
        <v>152</v>
      </c>
      <c r="C101" s="74">
        <v>0.25</v>
      </c>
      <c r="D101" s="56">
        <v>0.5</v>
      </c>
      <c r="E101" s="56">
        <f t="shared" si="69"/>
        <v>0.25</v>
      </c>
      <c r="F101" s="56">
        <v>0.5</v>
      </c>
      <c r="G101" s="74">
        <v>0.58333333333333304</v>
      </c>
      <c r="H101" s="54">
        <f t="shared" si="70"/>
        <v>8.3333333333333398E-2</v>
      </c>
      <c r="I101" s="56"/>
      <c r="J101" s="56"/>
      <c r="K101" s="56">
        <f t="shared" si="71"/>
        <v>0</v>
      </c>
      <c r="L101" s="17">
        <f t="shared" si="72"/>
        <v>0.33333333333333298</v>
      </c>
      <c r="M101" s="70"/>
      <c r="N101" s="70"/>
      <c r="O101" s="70"/>
    </row>
    <row r="102" spans="1:15" s="71" customFormat="1">
      <c r="A102" s="72" t="s">
        <v>153</v>
      </c>
      <c r="B102" s="73" t="s">
        <v>124</v>
      </c>
      <c r="C102" s="56"/>
      <c r="D102" s="56"/>
      <c r="E102" s="56">
        <f t="shared" si="69"/>
        <v>0</v>
      </c>
      <c r="F102" s="74">
        <v>0.58333333333333304</v>
      </c>
      <c r="G102" s="56">
        <v>0.75</v>
      </c>
      <c r="H102" s="54">
        <f t="shared" si="70"/>
        <v>0.16666666666666699</v>
      </c>
      <c r="I102" s="56">
        <v>0.75</v>
      </c>
      <c r="J102" s="74">
        <v>0.91666666666666696</v>
      </c>
      <c r="K102" s="56">
        <f t="shared" si="71"/>
        <v>0.16666666666666699</v>
      </c>
      <c r="L102" s="17">
        <f t="shared" si="72"/>
        <v>0.33333333333333298</v>
      </c>
      <c r="M102"/>
      <c r="N102"/>
      <c r="O102"/>
    </row>
    <row r="103" spans="1:15" s="70" customFormat="1">
      <c r="A103" s="72"/>
      <c r="B103" s="85" t="s">
        <v>154</v>
      </c>
      <c r="C103" s="74">
        <v>0.25</v>
      </c>
      <c r="D103" s="56">
        <v>0.5</v>
      </c>
      <c r="E103" s="56">
        <f t="shared" ref="E103:E105" si="73">IF(D103&gt;C103,D103-C103,C103-D103)</f>
        <v>0.25</v>
      </c>
      <c r="F103" s="56">
        <v>0.5</v>
      </c>
      <c r="G103" s="74">
        <v>0.58333333333333304</v>
      </c>
      <c r="H103" s="54">
        <f t="shared" ref="H103:H105" si="74">IF(G103&gt;F103,G103-F103,F103-G103)</f>
        <v>8.3333333333333398E-2</v>
      </c>
      <c r="I103" s="56"/>
      <c r="J103" s="56"/>
      <c r="K103" s="56">
        <f t="shared" ref="K103:K105" si="75">IF(J103&gt;I103,J103-I103,I103-J103)</f>
        <v>0</v>
      </c>
      <c r="L103" s="17">
        <f t="shared" ref="L103:L105" si="76">E103+H103+K103</f>
        <v>0.33333333333333298</v>
      </c>
    </row>
    <row r="104" spans="1:15" s="70" customFormat="1">
      <c r="A104" s="72"/>
      <c r="B104" s="76" t="s">
        <v>155</v>
      </c>
      <c r="C104" s="41"/>
      <c r="D104" s="41"/>
      <c r="E104" s="41">
        <f t="shared" si="73"/>
        <v>0</v>
      </c>
      <c r="F104" s="41"/>
      <c r="G104" s="41"/>
      <c r="H104" s="40">
        <f t="shared" si="74"/>
        <v>0</v>
      </c>
      <c r="I104" s="41"/>
      <c r="J104" s="41"/>
      <c r="K104" s="41">
        <f t="shared" si="75"/>
        <v>0</v>
      </c>
      <c r="L104" s="83">
        <f t="shared" si="76"/>
        <v>0</v>
      </c>
    </row>
    <row r="105" spans="1:15" s="70" customFormat="1">
      <c r="A105" s="72" t="s">
        <v>156</v>
      </c>
      <c r="B105" s="76" t="s">
        <v>157</v>
      </c>
      <c r="C105" s="41"/>
      <c r="D105" s="41"/>
      <c r="E105" s="41">
        <f t="shared" si="73"/>
        <v>0</v>
      </c>
      <c r="F105" s="41"/>
      <c r="G105" s="41"/>
      <c r="H105" s="40">
        <f t="shared" si="74"/>
        <v>0</v>
      </c>
      <c r="I105" s="41"/>
      <c r="J105" s="41"/>
      <c r="K105" s="41">
        <f t="shared" si="75"/>
        <v>0</v>
      </c>
      <c r="L105" s="83">
        <f t="shared" si="76"/>
        <v>0</v>
      </c>
    </row>
    <row r="106" spans="1:15" s="70" customFormat="1">
      <c r="A106"/>
      <c r="B106" s="13"/>
      <c r="C106"/>
      <c r="D106"/>
      <c r="E106" s="78">
        <f>SUM(E94:E102)</f>
        <v>0.91666666666666696</v>
      </c>
      <c r="F106" s="1"/>
      <c r="G106" s="1"/>
      <c r="H106" s="78">
        <f>SUM(H94:H102)</f>
        <v>0.91666666666666696</v>
      </c>
      <c r="I106" s="1"/>
      <c r="J106" s="1"/>
      <c r="K106" s="78">
        <f>SUM(K94:K102)</f>
        <v>0.83333333333333304</v>
      </c>
      <c r="L106" s="78">
        <f>SUM(L94:L102)</f>
        <v>2.6666666666666701</v>
      </c>
    </row>
    <row r="107" spans="1:15" s="70" customFormat="1">
      <c r="A107"/>
      <c r="B107" s="13"/>
      <c r="C107"/>
      <c r="D107"/>
      <c r="E107"/>
      <c r="F107"/>
      <c r="G107"/>
      <c r="H107"/>
      <c r="I107"/>
      <c r="J107"/>
      <c r="K107"/>
      <c r="L107"/>
    </row>
    <row r="108" spans="1:15" s="70" customFormat="1">
      <c r="A108"/>
      <c r="B108"/>
      <c r="C108" s="2" t="s">
        <v>42</v>
      </c>
      <c r="D108"/>
      <c r="E108"/>
      <c r="F108"/>
      <c r="G108" s="5" t="s">
        <v>38</v>
      </c>
      <c r="H108" s="6">
        <f>+H91+1</f>
        <v>46250</v>
      </c>
      <c r="I108"/>
      <c r="J108"/>
      <c r="K108"/>
      <c r="L108"/>
    </row>
    <row r="109" spans="1:15" s="70" customFormat="1">
      <c r="A109"/>
      <c r="B109"/>
      <c r="C109" s="168" t="s">
        <v>3</v>
      </c>
      <c r="D109" s="168"/>
      <c r="E109" s="168"/>
      <c r="F109" s="169" t="s">
        <v>4</v>
      </c>
      <c r="G109" s="169"/>
      <c r="H109" s="169"/>
      <c r="I109" s="170" t="s">
        <v>5</v>
      </c>
      <c r="J109" s="170"/>
      <c r="K109" s="170"/>
      <c r="L109"/>
    </row>
    <row r="110" spans="1:15">
      <c r="B110" s="7" t="s">
        <v>6</v>
      </c>
      <c r="C110" s="8" t="s">
        <v>7</v>
      </c>
      <c r="D110" s="8" t="s">
        <v>8</v>
      </c>
      <c r="E110" s="8" t="s">
        <v>9</v>
      </c>
      <c r="F110" s="9" t="s">
        <v>7</v>
      </c>
      <c r="G110" s="9" t="s">
        <v>8</v>
      </c>
      <c r="H110" s="9" t="s">
        <v>9</v>
      </c>
      <c r="I110" s="16" t="s">
        <v>7</v>
      </c>
      <c r="J110" s="16" t="s">
        <v>8</v>
      </c>
      <c r="K110" s="16" t="s">
        <v>9</v>
      </c>
      <c r="L110" s="7" t="s">
        <v>10</v>
      </c>
    </row>
    <row r="111" spans="1:15">
      <c r="A111" s="72" t="s">
        <v>141</v>
      </c>
      <c r="B111" s="75" t="s">
        <v>142</v>
      </c>
      <c r="C111" s="56"/>
      <c r="D111" s="56"/>
      <c r="E111" s="56">
        <f>IF(D111&gt;C111,D111-C111,C111-D111)</f>
        <v>0</v>
      </c>
      <c r="F111" s="74">
        <v>0.58333333333333304</v>
      </c>
      <c r="G111" s="56">
        <v>0.75</v>
      </c>
      <c r="H111" s="54">
        <f>IF(G111&gt;F111,G111-F111,F111-G111)</f>
        <v>0.16666666666666699</v>
      </c>
      <c r="I111" s="56">
        <v>0.75</v>
      </c>
      <c r="J111" s="74">
        <v>0.91666666666666696</v>
      </c>
      <c r="K111" s="56">
        <f>IF(J111&gt;I111,J111-I111,I111-J111)</f>
        <v>0.16666666666666699</v>
      </c>
      <c r="L111" s="17">
        <f>E111+H111+K111</f>
        <v>0.33333333333333298</v>
      </c>
    </row>
    <row r="112" spans="1:15">
      <c r="A112" s="72" t="s">
        <v>143</v>
      </c>
      <c r="B112" s="10" t="s">
        <v>144</v>
      </c>
      <c r="C112" s="41"/>
      <c r="D112" s="41"/>
      <c r="E112" s="41">
        <f t="shared" ref="E112:E115" si="77">IF(D112&gt;C112,D112-C112,C112-D112)</f>
        <v>0</v>
      </c>
      <c r="F112" s="41"/>
      <c r="G112" s="41"/>
      <c r="H112" s="40">
        <f t="shared" ref="H112:H115" si="78">IF(G112&gt;F112,G112-F112,F112-G112)</f>
        <v>0</v>
      </c>
      <c r="I112" s="41"/>
      <c r="J112" s="41"/>
      <c r="K112" s="41">
        <f t="shared" ref="K112:K115" si="79">IF(J112&gt;I112,J112-I112,I112-J112)</f>
        <v>0</v>
      </c>
      <c r="L112" s="83">
        <f t="shared" ref="L112:L115" si="80">E112+H112+K112</f>
        <v>0</v>
      </c>
    </row>
    <row r="113" spans="1:12">
      <c r="A113" s="72" t="s">
        <v>145</v>
      </c>
      <c r="B113" s="73" t="s">
        <v>102</v>
      </c>
      <c r="C113" s="56">
        <v>0.25</v>
      </c>
      <c r="D113" s="56">
        <v>0.58333333333333304</v>
      </c>
      <c r="E113" s="56">
        <f t="shared" si="77"/>
        <v>0.33333333333333298</v>
      </c>
      <c r="F113" s="74"/>
      <c r="G113" s="56"/>
      <c r="H113" s="54">
        <f t="shared" si="78"/>
        <v>0</v>
      </c>
      <c r="I113" s="56"/>
      <c r="J113" s="74"/>
      <c r="K113" s="56">
        <f t="shared" si="79"/>
        <v>0</v>
      </c>
      <c r="L113" s="17">
        <f t="shared" si="80"/>
        <v>0.33333333333333298</v>
      </c>
    </row>
    <row r="114" spans="1:12">
      <c r="A114" s="72" t="s">
        <v>143</v>
      </c>
      <c r="B114" s="73" t="s">
        <v>146</v>
      </c>
      <c r="C114" s="56">
        <v>0.25</v>
      </c>
      <c r="D114" s="56">
        <v>0.58333333333333304</v>
      </c>
      <c r="E114" s="56">
        <f t="shared" si="77"/>
        <v>0.33333333333333298</v>
      </c>
      <c r="F114" s="74"/>
      <c r="G114" s="56"/>
      <c r="H114" s="54">
        <f t="shared" si="78"/>
        <v>0</v>
      </c>
      <c r="I114" s="56"/>
      <c r="J114" s="74"/>
      <c r="K114" s="56">
        <f t="shared" si="79"/>
        <v>0</v>
      </c>
      <c r="L114" s="17">
        <f t="shared" si="80"/>
        <v>0.33333333333333298</v>
      </c>
    </row>
    <row r="115" spans="1:12">
      <c r="A115" s="72" t="s">
        <v>147</v>
      </c>
      <c r="B115" s="75" t="s">
        <v>148</v>
      </c>
      <c r="C115" s="56"/>
      <c r="D115" s="56"/>
      <c r="E115" s="56">
        <f t="shared" si="77"/>
        <v>0</v>
      </c>
      <c r="F115" s="74">
        <v>0.58333333333333304</v>
      </c>
      <c r="G115" s="56">
        <v>0.75</v>
      </c>
      <c r="H115" s="54">
        <f t="shared" si="78"/>
        <v>0.16666666666666699</v>
      </c>
      <c r="I115" s="56">
        <v>0.75</v>
      </c>
      <c r="J115" s="74">
        <v>0.91666666666666696</v>
      </c>
      <c r="K115" s="56">
        <f t="shared" si="79"/>
        <v>0.16666666666666699</v>
      </c>
      <c r="L115" s="17">
        <f t="shared" si="80"/>
        <v>0.33333333333333298</v>
      </c>
    </row>
    <row r="116" spans="1:12">
      <c r="A116" s="72" t="s">
        <v>149</v>
      </c>
      <c r="B116" s="73" t="s">
        <v>150</v>
      </c>
      <c r="C116" s="56"/>
      <c r="D116" s="56"/>
      <c r="E116" s="56">
        <f t="shared" ref="E116:E118" si="81">IF(D116&gt;C116,D116-C116,C116-D116)</f>
        <v>0</v>
      </c>
      <c r="F116" s="74">
        <v>0.58333333333333304</v>
      </c>
      <c r="G116" s="56">
        <v>0.75</v>
      </c>
      <c r="H116" s="54">
        <f t="shared" ref="H116:H118" si="82">IF(G116&gt;F116,G116-F116,F116-G116)</f>
        <v>0.16666666666666699</v>
      </c>
      <c r="I116" s="56">
        <v>0.75</v>
      </c>
      <c r="J116" s="74">
        <v>0.91666666666666696</v>
      </c>
      <c r="K116" s="56">
        <f t="shared" ref="K116:K118" si="83">IF(J116&gt;I116,J116-I116,I116-J116)</f>
        <v>0.16666666666666699</v>
      </c>
      <c r="L116" s="17">
        <f t="shared" ref="L116:L118" si="84">E116+H116+K116</f>
        <v>0.33333333333333298</v>
      </c>
    </row>
    <row r="117" spans="1:12">
      <c r="A117" s="72" t="s">
        <v>151</v>
      </c>
      <c r="B117" s="75" t="s">
        <v>152</v>
      </c>
      <c r="C117" s="56">
        <v>0.25</v>
      </c>
      <c r="D117" s="56">
        <v>0.58333333333333304</v>
      </c>
      <c r="E117" s="56">
        <f t="shared" si="81"/>
        <v>0.33333333333333298</v>
      </c>
      <c r="F117" s="74"/>
      <c r="G117" s="56"/>
      <c r="H117" s="54">
        <f t="shared" si="82"/>
        <v>0</v>
      </c>
      <c r="I117" s="56"/>
      <c r="J117" s="74"/>
      <c r="K117" s="56">
        <f t="shared" si="83"/>
        <v>0</v>
      </c>
      <c r="L117" s="17">
        <f t="shared" si="84"/>
        <v>0.33333333333333298</v>
      </c>
    </row>
    <row r="118" spans="1:12">
      <c r="A118" s="72" t="s">
        <v>153</v>
      </c>
      <c r="B118" s="73" t="s">
        <v>124</v>
      </c>
      <c r="C118" s="56"/>
      <c r="D118" s="56"/>
      <c r="E118" s="56">
        <f t="shared" si="81"/>
        <v>0</v>
      </c>
      <c r="F118" s="74">
        <v>0.58333333333333304</v>
      </c>
      <c r="G118" s="56">
        <v>0.75</v>
      </c>
      <c r="H118" s="54">
        <f t="shared" si="82"/>
        <v>0.16666666666666699</v>
      </c>
      <c r="I118" s="56">
        <v>0.75</v>
      </c>
      <c r="J118" s="74">
        <v>0.91666666666666696</v>
      </c>
      <c r="K118" s="56">
        <f t="shared" si="83"/>
        <v>0.16666666666666699</v>
      </c>
      <c r="L118" s="17">
        <f t="shared" si="84"/>
        <v>0.33333333333333298</v>
      </c>
    </row>
    <row r="119" spans="1:12">
      <c r="A119" s="72"/>
      <c r="B119" s="85" t="s">
        <v>154</v>
      </c>
      <c r="C119" s="56">
        <v>0.25</v>
      </c>
      <c r="D119" s="56">
        <v>0.58333333333333304</v>
      </c>
      <c r="E119" s="56">
        <f t="shared" ref="E119" si="85">IF(D119&gt;C119,D119-C119,C119-D119)</f>
        <v>0.33333333333333298</v>
      </c>
      <c r="F119" s="74"/>
      <c r="G119" s="56"/>
      <c r="H119" s="54">
        <f t="shared" ref="H119" si="86">IF(G119&gt;F119,G119-F119,F119-G119)</f>
        <v>0</v>
      </c>
      <c r="I119" s="56"/>
      <c r="J119" s="74"/>
      <c r="K119" s="56">
        <f t="shared" ref="K119" si="87">IF(J119&gt;I119,J119-I119,I119-J119)</f>
        <v>0</v>
      </c>
      <c r="L119" s="17">
        <f t="shared" ref="L119" si="88">E119+H119+K119</f>
        <v>0.33333333333333298</v>
      </c>
    </row>
    <row r="120" spans="1:12">
      <c r="A120" s="72"/>
      <c r="B120" s="76" t="s">
        <v>155</v>
      </c>
      <c r="C120" s="56"/>
      <c r="D120" s="56"/>
      <c r="E120" s="56">
        <f t="shared" ref="E120:E121" si="89">IF(D120&gt;C120,D120-C120,C120-D120)</f>
        <v>0</v>
      </c>
      <c r="F120" s="74">
        <v>0.58333333333333304</v>
      </c>
      <c r="G120" s="56">
        <v>0.75</v>
      </c>
      <c r="H120" s="54">
        <f t="shared" ref="H120:H121" si="90">IF(G120&gt;F120,G120-F120,F120-G120)</f>
        <v>0.16666666666666699</v>
      </c>
      <c r="I120" s="56">
        <v>0.75</v>
      </c>
      <c r="J120" s="74">
        <v>0.91666666666666696</v>
      </c>
      <c r="K120" s="56">
        <f t="shared" ref="K120:K121" si="91">IF(J120&gt;I120,J120-I120,I120-J120)</f>
        <v>0.16666666666666699</v>
      </c>
      <c r="L120" s="17">
        <f t="shared" ref="L120:L121" si="92">E120+H120+K120</f>
        <v>0.33333333333333298</v>
      </c>
    </row>
    <row r="121" spans="1:12">
      <c r="A121" s="72" t="s">
        <v>156</v>
      </c>
      <c r="B121" s="76" t="s">
        <v>157</v>
      </c>
      <c r="C121" s="56"/>
      <c r="D121" s="56"/>
      <c r="E121" s="56">
        <f t="shared" si="89"/>
        <v>0</v>
      </c>
      <c r="F121" s="74">
        <v>0.58333333333333304</v>
      </c>
      <c r="G121" s="56">
        <v>0.75</v>
      </c>
      <c r="H121" s="54">
        <f t="shared" si="90"/>
        <v>0.16666666666666699</v>
      </c>
      <c r="I121" s="56">
        <v>0.75</v>
      </c>
      <c r="J121" s="74">
        <v>0.91666666666666696</v>
      </c>
      <c r="K121" s="56">
        <f t="shared" si="91"/>
        <v>0.16666666666666699</v>
      </c>
      <c r="L121" s="17">
        <f t="shared" si="92"/>
        <v>0.33333333333333298</v>
      </c>
    </row>
    <row r="122" spans="1:12">
      <c r="B122" s="13"/>
      <c r="E122" s="78">
        <f>SUM(E111:E120)</f>
        <v>1.3333333333333299</v>
      </c>
      <c r="F122" s="1"/>
      <c r="G122" s="1"/>
      <c r="H122" s="78">
        <f>SUM(H111:H121)</f>
        <v>1</v>
      </c>
      <c r="I122" s="1"/>
      <c r="J122" s="1"/>
      <c r="K122" s="78">
        <f>SUM(K111:K120)</f>
        <v>0.83333333333333304</v>
      </c>
      <c r="L122" s="78">
        <f>SUM(L111:L120)</f>
        <v>3</v>
      </c>
    </row>
  </sheetData>
  <mergeCells count="23">
    <mergeCell ref="I58:K58"/>
    <mergeCell ref="C6:E6"/>
    <mergeCell ref="F6:H6"/>
    <mergeCell ref="I6:K6"/>
    <mergeCell ref="C23:E23"/>
    <mergeCell ref="F23:H23"/>
    <mergeCell ref="I23:K23"/>
    <mergeCell ref="C109:E109"/>
    <mergeCell ref="F109:H109"/>
    <mergeCell ref="I109:K109"/>
    <mergeCell ref="E2:I3"/>
    <mergeCell ref="F61:G61"/>
    <mergeCell ref="C76:E76"/>
    <mergeCell ref="F76:H76"/>
    <mergeCell ref="I76:K76"/>
    <mergeCell ref="C92:E92"/>
    <mergeCell ref="F92:H92"/>
    <mergeCell ref="I92:K92"/>
    <mergeCell ref="C39:E39"/>
    <mergeCell ref="F39:H39"/>
    <mergeCell ref="I39:K39"/>
    <mergeCell ref="C58:E58"/>
    <mergeCell ref="F58:H58"/>
  </mergeCells>
  <pageMargins left="0.7" right="0.7" top="0.75" bottom="0.75" header="0.3" footer="0.3"/>
  <pageSetup paperSize="9" orientation="portrait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M73"/>
  <sheetViews>
    <sheetView zoomScale="107" zoomScaleNormal="107" workbookViewId="0">
      <selection activeCell="F64" sqref="F64"/>
    </sheetView>
  </sheetViews>
  <sheetFormatPr defaultColWidth="11" defaultRowHeight="15"/>
  <sheetData>
    <row r="2" spans="1:13">
      <c r="E2" s="171" t="s">
        <v>158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159</v>
      </c>
      <c r="G5" s="5" t="str">
        <f>+MAINTENANCE!G5</f>
        <v>LUNDI</v>
      </c>
      <c r="H5" s="6">
        <f>+'CUISINE RESTO'!H5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160</v>
      </c>
      <c r="B8" s="13" t="s">
        <v>161</v>
      </c>
      <c r="C8" s="64">
        <v>0.41666666666666702</v>
      </c>
      <c r="D8" s="64">
        <v>0.58333333333333304</v>
      </c>
      <c r="E8" s="64">
        <f t="shared" ref="E8" si="0">IF(D8&gt;C8,D8-C8,C8-D8)</f>
        <v>0.16666666666666699</v>
      </c>
      <c r="F8" s="64"/>
      <c r="G8" s="64"/>
      <c r="H8" s="64">
        <f>IF(G8&gt;F8,G8-F8,F8-G8)</f>
        <v>0</v>
      </c>
      <c r="I8" s="69">
        <v>0.75</v>
      </c>
      <c r="J8" s="69">
        <v>0.91666666666666696</v>
      </c>
      <c r="K8" s="64">
        <f>IF(J8&gt;I8,J8-I8,I8-J8)</f>
        <v>0.16666666666666699</v>
      </c>
      <c r="L8" s="64">
        <f>E8+H8+K8</f>
        <v>0.33333333333333298</v>
      </c>
      <c r="M8" s="70"/>
    </row>
    <row r="9" spans="1:13">
      <c r="A9" s="3" t="s">
        <v>162</v>
      </c>
      <c r="B9" s="13" t="s">
        <v>163</v>
      </c>
      <c r="C9" s="20"/>
      <c r="D9" s="17"/>
      <c r="E9" s="17">
        <f t="shared" ref="E9:E10" si="1">IF(D9&gt;C9,D9-C9,C9-D9)</f>
        <v>0</v>
      </c>
      <c r="F9" s="17">
        <v>0.58333333333333304</v>
      </c>
      <c r="G9" s="29">
        <v>0.75</v>
      </c>
      <c r="H9" s="17">
        <f t="shared" ref="H9:H10" si="2">IF(G9&gt;F9,G9-F9,F9-G9)</f>
        <v>0.16666666666666699</v>
      </c>
      <c r="I9" s="17">
        <v>0.75</v>
      </c>
      <c r="J9" s="29">
        <v>0.91666666666666696</v>
      </c>
      <c r="K9" s="17">
        <f t="shared" ref="K9:K10" si="3">IF(J9&gt;I9,J9-I9,I9-J9)</f>
        <v>0.16666666666666699</v>
      </c>
      <c r="L9" s="17">
        <f t="shared" ref="L9" si="4">E9+H9+K9</f>
        <v>0.33333333333333298</v>
      </c>
    </row>
    <row r="10" spans="1:13">
      <c r="A10" s="3" t="s">
        <v>164</v>
      </c>
      <c r="B10" s="13" t="s">
        <v>165</v>
      </c>
      <c r="C10" s="29">
        <v>0.25</v>
      </c>
      <c r="D10" s="17">
        <v>0.5</v>
      </c>
      <c r="E10" s="17">
        <f t="shared" si="1"/>
        <v>0.25</v>
      </c>
      <c r="F10" s="17">
        <v>0.5</v>
      </c>
      <c r="G10" s="29">
        <v>0.58333333333333304</v>
      </c>
      <c r="H10" s="17">
        <f t="shared" si="2"/>
        <v>8.3333333333333398E-2</v>
      </c>
      <c r="I10" s="17"/>
      <c r="J10" s="17"/>
      <c r="K10" s="17">
        <f t="shared" si="3"/>
        <v>0</v>
      </c>
      <c r="L10" s="17">
        <f t="shared" ref="L10" si="5">E10+H10+K10</f>
        <v>0.33333333333333298</v>
      </c>
    </row>
    <row r="11" spans="1:13" s="50" customFormat="1">
      <c r="A11" s="32"/>
      <c r="B11" s="65"/>
      <c r="C11" s="66"/>
      <c r="D11" s="66"/>
      <c r="E11" s="52">
        <f>SUM(E8:E10)</f>
        <v>0.41666666666666702</v>
      </c>
      <c r="F11" s="66"/>
      <c r="G11" s="66"/>
      <c r="H11" s="52">
        <f>SUM(H8:H10)</f>
        <v>0.25</v>
      </c>
      <c r="K11" s="52">
        <f>SUM(K8:K10)</f>
        <v>0.33333333333333298</v>
      </c>
      <c r="L11" s="52">
        <f>SUM(L8:L10)</f>
        <v>1</v>
      </c>
    </row>
    <row r="13" spans="1:13">
      <c r="C13" s="2" t="s">
        <v>159</v>
      </c>
      <c r="G13" s="67" t="s">
        <v>32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s="3" t="s">
        <v>160</v>
      </c>
      <c r="B16" s="13" t="s">
        <v>161</v>
      </c>
      <c r="C16" s="20"/>
      <c r="D16" s="17"/>
      <c r="E16" s="17">
        <f t="shared" ref="E16" si="6">IF(D16&gt;C16,D16-C16,C16-D16)</f>
        <v>0</v>
      </c>
      <c r="F16" s="17">
        <v>0.58333333333333304</v>
      </c>
      <c r="G16" s="29">
        <v>0.75</v>
      </c>
      <c r="H16" s="17">
        <f t="shared" ref="H16" si="7">IF(G16&gt;F16,G16-F16,F16-G16)</f>
        <v>0.16666666666666699</v>
      </c>
      <c r="I16" s="17">
        <v>0.77083333333333304</v>
      </c>
      <c r="J16" s="29">
        <v>0.91666666666666696</v>
      </c>
      <c r="K16" s="17">
        <f t="shared" ref="K16" si="8">IF(J16&gt;I16,J16-I16,I16-J16)</f>
        <v>0.14583333333333301</v>
      </c>
      <c r="L16" s="17">
        <f t="shared" ref="L16" si="9">E16+H16+K16</f>
        <v>0.3125</v>
      </c>
    </row>
    <row r="17" spans="1:13">
      <c r="A17" s="3" t="s">
        <v>162</v>
      </c>
      <c r="B17" s="13" t="s">
        <v>163</v>
      </c>
      <c r="C17" s="20"/>
      <c r="D17" s="17"/>
      <c r="E17" s="17">
        <f t="shared" ref="E17:E18" si="10">IF(D17&gt;C17,D17-C17,C17-D17)</f>
        <v>0</v>
      </c>
      <c r="F17" s="17">
        <v>0.58333333333333304</v>
      </c>
      <c r="G17" s="29">
        <v>0.75</v>
      </c>
      <c r="H17" s="17">
        <f t="shared" ref="H17:H18" si="11">IF(G17&gt;F17,G17-F17,F17-G17)</f>
        <v>0.16666666666666699</v>
      </c>
      <c r="I17" s="17">
        <v>0.77083333333333304</v>
      </c>
      <c r="J17" s="29">
        <v>0.91666666666666696</v>
      </c>
      <c r="K17" s="17">
        <f t="shared" ref="K17:K18" si="12">IF(J17&gt;I17,J17-I17,I17-J17)</f>
        <v>0.14583333333333301</v>
      </c>
      <c r="L17" s="17">
        <f t="shared" ref="L17:L18" si="13">E17+H17+K17</f>
        <v>0.3125</v>
      </c>
    </row>
    <row r="18" spans="1:13">
      <c r="A18" s="3" t="s">
        <v>164</v>
      </c>
      <c r="B18" s="13" t="s">
        <v>165</v>
      </c>
      <c r="C18" s="19"/>
      <c r="D18" s="19"/>
      <c r="E18" s="19">
        <f t="shared" si="10"/>
        <v>0</v>
      </c>
      <c r="F18" s="19"/>
      <c r="G18" s="19"/>
      <c r="H18" s="19">
        <f t="shared" si="11"/>
        <v>0</v>
      </c>
      <c r="I18" s="22"/>
      <c r="J18" s="22"/>
      <c r="K18" s="19">
        <f t="shared" si="12"/>
        <v>0</v>
      </c>
      <c r="L18" s="11">
        <f t="shared" si="13"/>
        <v>0</v>
      </c>
      <c r="M18" t="s">
        <v>25</v>
      </c>
    </row>
    <row r="19" spans="1:13" s="50" customFormat="1">
      <c r="A19" s="32"/>
      <c r="B19" s="65"/>
      <c r="C19" s="66"/>
      <c r="D19" s="66"/>
      <c r="E19" s="52">
        <f>SUM(E16:E18)</f>
        <v>0</v>
      </c>
      <c r="F19" s="66"/>
      <c r="G19" s="66"/>
      <c r="H19" s="52">
        <f>SUM(H16:H18)</f>
        <v>0.33333333333333298</v>
      </c>
      <c r="K19" s="52">
        <f>SUM(K16:K18)</f>
        <v>0.29166666666666702</v>
      </c>
      <c r="L19" s="52">
        <f>SUM(L16:L18)</f>
        <v>0.625</v>
      </c>
    </row>
    <row r="21" spans="1:13">
      <c r="C21" s="2" t="s">
        <v>159</v>
      </c>
      <c r="D21" s="18"/>
      <c r="F21" s="18"/>
      <c r="G21" s="28" t="s">
        <v>34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s="3" t="s">
        <v>160</v>
      </c>
      <c r="B24" s="13" t="s">
        <v>161</v>
      </c>
      <c r="C24" s="20"/>
      <c r="D24" s="17"/>
      <c r="E24" s="17">
        <f t="shared" ref="E24" si="14">IF(D24&gt;C24,D24-C24,C24-D24)</f>
        <v>0</v>
      </c>
      <c r="F24" s="17">
        <v>0.58333333333333304</v>
      </c>
      <c r="G24" s="29">
        <v>0.75</v>
      </c>
      <c r="H24" s="17">
        <f t="shared" ref="H24:H25" si="15">IF(G24&gt;F24,G24-F24,F24-G24)</f>
        <v>0.16666666666666699</v>
      </c>
      <c r="I24" s="17">
        <v>0.77083333333333304</v>
      </c>
      <c r="J24" s="29">
        <v>0.91666666666666696</v>
      </c>
      <c r="K24" s="17">
        <f t="shared" ref="K24:K25" si="16">IF(J24&gt;I24,J24-I24,I24-J24)</f>
        <v>0.14583333333333301</v>
      </c>
      <c r="L24" s="17">
        <f t="shared" ref="L24:L25" si="17">E24+H24+K24</f>
        <v>0.3125</v>
      </c>
    </row>
    <row r="25" spans="1:13">
      <c r="A25" s="3" t="s">
        <v>162</v>
      </c>
      <c r="B25" s="13" t="s">
        <v>163</v>
      </c>
      <c r="C25" s="19"/>
      <c r="D25" s="19"/>
      <c r="E25" s="19">
        <f t="shared" ref="E25:E26" si="18">IF(D25&gt;C25,D25-C25,C25-D25)</f>
        <v>0</v>
      </c>
      <c r="F25" s="19"/>
      <c r="G25" s="19"/>
      <c r="H25" s="19">
        <f t="shared" si="15"/>
        <v>0</v>
      </c>
      <c r="I25" s="22"/>
      <c r="J25" s="22"/>
      <c r="K25" s="19">
        <f t="shared" si="16"/>
        <v>0</v>
      </c>
      <c r="L25" s="11">
        <f t="shared" si="17"/>
        <v>0</v>
      </c>
      <c r="M25" t="s">
        <v>25</v>
      </c>
    </row>
    <row r="26" spans="1:13">
      <c r="A26" s="3" t="s">
        <v>164</v>
      </c>
      <c r="B26" s="13" t="s">
        <v>165</v>
      </c>
      <c r="C26" s="29">
        <v>0.25</v>
      </c>
      <c r="D26" s="17">
        <v>0.58333333333333304</v>
      </c>
      <c r="E26" s="17">
        <f t="shared" si="18"/>
        <v>0.33333333333333298</v>
      </c>
      <c r="F26" s="17"/>
      <c r="G26" s="29"/>
      <c r="H26" s="17">
        <f t="shared" ref="H26" si="19">IF(G26&gt;F26,G26-F26,F26-G26)</f>
        <v>0</v>
      </c>
      <c r="I26" s="17">
        <v>0.75</v>
      </c>
      <c r="J26" s="29">
        <v>0.91666666666666696</v>
      </c>
      <c r="K26" s="17">
        <f t="shared" ref="K26" si="20">IF(J26&gt;I26,J26-I26,I26-J26)</f>
        <v>0.16666666666666699</v>
      </c>
      <c r="L26" s="17">
        <f t="shared" ref="L26" si="21">E26+H26+K26</f>
        <v>0.5</v>
      </c>
    </row>
    <row r="27" spans="1:13" s="50" customFormat="1">
      <c r="A27" s="32"/>
      <c r="B27" s="65"/>
      <c r="C27" s="66"/>
      <c r="D27" s="66"/>
      <c r="E27" s="52">
        <f>SUM(E24:E26)</f>
        <v>0.33333333333333298</v>
      </c>
      <c r="F27" s="66"/>
      <c r="G27" s="66"/>
      <c r="H27" s="52">
        <f>SUM(H24:H26)</f>
        <v>0.16666666666666699</v>
      </c>
      <c r="K27" s="52">
        <f>SUM(K24:K26)</f>
        <v>0.3125</v>
      </c>
      <c r="L27" s="52">
        <f>SUM(L24:L26)</f>
        <v>0.8125</v>
      </c>
    </row>
    <row r="28" spans="1:13">
      <c r="B28" s="68"/>
    </row>
    <row r="29" spans="1:13">
      <c r="C29" s="2" t="s">
        <v>159</v>
      </c>
      <c r="D29" s="18"/>
      <c r="F29" s="18"/>
      <c r="G29" s="28" t="s">
        <v>35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166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s="3" t="s">
        <v>160</v>
      </c>
      <c r="B32" s="13" t="s">
        <v>161</v>
      </c>
      <c r="C32" s="19"/>
      <c r="D32" s="19"/>
      <c r="E32" s="19">
        <f t="shared" ref="E32" si="22">IF(D32&gt;C32,D32-C32,C32-D32)</f>
        <v>0</v>
      </c>
      <c r="F32" s="19"/>
      <c r="G32" s="19"/>
      <c r="H32" s="19">
        <f>IF(G32&gt;F32,G32-F32,F32-G32)</f>
        <v>0</v>
      </c>
      <c r="I32" s="22"/>
      <c r="J32" s="22"/>
      <c r="K32" s="19">
        <f>IF(J32&gt;I32,J32-I32,I32-J32)</f>
        <v>0</v>
      </c>
      <c r="L32" s="11">
        <f>E32+H32+K32</f>
        <v>0</v>
      </c>
      <c r="M32" t="s">
        <v>25</v>
      </c>
    </row>
    <row r="33" spans="1:12">
      <c r="A33" s="3" t="s">
        <v>162</v>
      </c>
      <c r="B33" s="13" t="s">
        <v>163</v>
      </c>
      <c r="C33" s="29">
        <v>0.25</v>
      </c>
      <c r="D33" s="17">
        <v>0.58333333333333304</v>
      </c>
      <c r="E33" s="17">
        <f t="shared" ref="E33:E34" si="23">IF(D33&gt;C33,D33-C33,C33-D33)</f>
        <v>0.33333333333333298</v>
      </c>
      <c r="F33" s="17"/>
      <c r="G33" s="29"/>
      <c r="H33" s="17">
        <f t="shared" ref="H33:H34" si="24">IF(G33&gt;F33,G33-F33,F33-G33)</f>
        <v>0</v>
      </c>
      <c r="I33" s="17">
        <v>0.75</v>
      </c>
      <c r="J33" s="17">
        <v>0.91666666666666696</v>
      </c>
      <c r="K33" s="17">
        <f t="shared" ref="K33:K34" si="25">IF(J33&gt;I33,J33-I33,I33-J33)</f>
        <v>0.16666666666666699</v>
      </c>
      <c r="L33" s="17">
        <f t="shared" ref="L33:L34" si="26">E33+H33+K33</f>
        <v>0.5</v>
      </c>
    </row>
    <row r="34" spans="1:12">
      <c r="A34" s="3" t="s">
        <v>164</v>
      </c>
      <c r="B34" s="13" t="s">
        <v>165</v>
      </c>
      <c r="C34" s="20"/>
      <c r="D34" s="17"/>
      <c r="E34" s="17">
        <f t="shared" si="23"/>
        <v>0</v>
      </c>
      <c r="F34" s="17">
        <v>0.58333333333333304</v>
      </c>
      <c r="G34" s="29">
        <v>0.75</v>
      </c>
      <c r="H34" s="17">
        <f t="shared" si="24"/>
        <v>0.16666666666666699</v>
      </c>
      <c r="I34" s="17">
        <v>0.77083333333333304</v>
      </c>
      <c r="J34" s="29">
        <v>0.91666666666666696</v>
      </c>
      <c r="K34" s="17">
        <f t="shared" si="25"/>
        <v>0.14583333333333301</v>
      </c>
      <c r="L34" s="17">
        <f t="shared" si="26"/>
        <v>0.3125</v>
      </c>
    </row>
    <row r="35" spans="1:12" s="50" customFormat="1">
      <c r="A35" s="32"/>
      <c r="B35" s="65"/>
      <c r="C35" s="66"/>
      <c r="D35" s="66"/>
      <c r="E35" s="52">
        <f>SUM(E32:E34)</f>
        <v>0.33333333333333298</v>
      </c>
      <c r="F35" s="66"/>
      <c r="G35" s="66"/>
      <c r="H35" s="52">
        <f>SUM(H32:H34)</f>
        <v>0.16666666666666699</v>
      </c>
      <c r="K35" s="52">
        <f>SUM(K32:K34)</f>
        <v>0.3125</v>
      </c>
      <c r="L35" s="52">
        <f>SUM(L32:L34)</f>
        <v>0.8125</v>
      </c>
    </row>
    <row r="36" spans="1:12">
      <c r="B36" s="68"/>
      <c r="E36" s="21"/>
      <c r="H36" s="21"/>
      <c r="K36" s="21"/>
      <c r="L36" s="21"/>
    </row>
    <row r="37" spans="1:12">
      <c r="C37" s="2" t="s">
        <v>159</v>
      </c>
      <c r="D37" s="18"/>
      <c r="F37" s="18"/>
      <c r="G37" s="28" t="s">
        <v>36</v>
      </c>
      <c r="H37" s="6">
        <f>+H29+1</f>
        <v>46248</v>
      </c>
    </row>
    <row r="38" spans="1:1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2">
      <c r="A40" s="3" t="s">
        <v>160</v>
      </c>
      <c r="B40" s="13" t="s">
        <v>161</v>
      </c>
      <c r="C40" s="20">
        <v>0.25</v>
      </c>
      <c r="D40" s="17">
        <v>0.58333333333333304</v>
      </c>
      <c r="E40" s="17">
        <f t="shared" ref="E40" si="27">IF(D40&gt;C40,D40-C40,C40-D40)</f>
        <v>0.33333333333333298</v>
      </c>
      <c r="F40" s="17"/>
      <c r="G40" s="29"/>
      <c r="H40" s="17">
        <f t="shared" ref="H40" si="28">IF(G40&gt;F40,G40-F40,F40-G40)</f>
        <v>0</v>
      </c>
      <c r="I40" s="17"/>
      <c r="J40" s="29"/>
      <c r="K40" s="17">
        <f t="shared" ref="K40" si="29">IF(J40&gt;I40,J40-I40,I40-J40)</f>
        <v>0</v>
      </c>
      <c r="L40" s="17">
        <f t="shared" ref="L40" si="30">E40+H40+K40</f>
        <v>0.33333333333333298</v>
      </c>
    </row>
    <row r="41" spans="1:12">
      <c r="A41" s="3" t="s">
        <v>162</v>
      </c>
      <c r="B41" s="13" t="s">
        <v>163</v>
      </c>
      <c r="C41" s="29">
        <v>0.41666666666666702</v>
      </c>
      <c r="D41" s="17">
        <v>0.58333333333333304</v>
      </c>
      <c r="E41" s="17">
        <f t="shared" ref="E41:E42" si="31">IF(D41&gt;C41,D41-C41,C41-D41)</f>
        <v>0.16666666666666699</v>
      </c>
      <c r="F41" s="17"/>
      <c r="G41" s="29"/>
      <c r="H41" s="17">
        <f t="shared" ref="H41:H42" si="32">IF(G41&gt;F41,G41-F41,F41-G41)</f>
        <v>0</v>
      </c>
      <c r="I41" s="17">
        <v>0.75</v>
      </c>
      <c r="J41" s="17">
        <v>0.91666666666666696</v>
      </c>
      <c r="K41" s="17">
        <f t="shared" ref="K41:K42" si="33">IF(J41&gt;I41,J41-I41,I41-J41)</f>
        <v>0.16666666666666699</v>
      </c>
      <c r="L41" s="17">
        <f t="shared" ref="L41:L42" si="34">E41+H41+K41</f>
        <v>0.33333333333333298</v>
      </c>
    </row>
    <row r="42" spans="1:12">
      <c r="A42" s="3" t="s">
        <v>164</v>
      </c>
      <c r="B42" s="13" t="s">
        <v>165</v>
      </c>
      <c r="C42" s="20"/>
      <c r="D42" s="17"/>
      <c r="E42" s="17">
        <f t="shared" si="31"/>
        <v>0</v>
      </c>
      <c r="F42" s="17">
        <v>0.58333333333333304</v>
      </c>
      <c r="G42" s="29">
        <v>0.75</v>
      </c>
      <c r="H42" s="17">
        <f t="shared" si="32"/>
        <v>0.16666666666666699</v>
      </c>
      <c r="I42" s="17">
        <v>0.77083333333333304</v>
      </c>
      <c r="J42" s="29">
        <v>0.91666666666666696</v>
      </c>
      <c r="K42" s="17">
        <f t="shared" si="33"/>
        <v>0.14583333333333301</v>
      </c>
      <c r="L42" s="17">
        <f t="shared" si="34"/>
        <v>0.3125</v>
      </c>
    </row>
    <row r="43" spans="1:12" s="50" customFormat="1">
      <c r="A43" s="32"/>
      <c r="B43" s="65"/>
      <c r="C43" s="66"/>
      <c r="D43" s="66"/>
      <c r="E43" s="52">
        <f>SUM(E40:E42)</f>
        <v>0.5</v>
      </c>
      <c r="F43" s="66"/>
      <c r="G43" s="66"/>
      <c r="H43" s="52">
        <f>SUM(H40:H42)</f>
        <v>0.16666666666666699</v>
      </c>
      <c r="K43" s="52">
        <f>SUM(K40:K42)</f>
        <v>0.3125</v>
      </c>
      <c r="L43" s="52">
        <f>SUM(L40:L42)</f>
        <v>0.97916666666666696</v>
      </c>
    </row>
    <row r="44" spans="1:12">
      <c r="B44" s="68"/>
    </row>
    <row r="45" spans="1:12">
      <c r="C45" s="2" t="s">
        <v>159</v>
      </c>
      <c r="D45" s="18"/>
      <c r="F45" s="18"/>
      <c r="G45" s="28" t="s">
        <v>37</v>
      </c>
      <c r="H45" s="6">
        <f>+H37+1</f>
        <v>46249</v>
      </c>
    </row>
    <row r="46" spans="1:1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2">
      <c r="A48" s="3" t="s">
        <v>160</v>
      </c>
      <c r="B48" s="13" t="s">
        <v>161</v>
      </c>
      <c r="C48" s="20">
        <v>0.25</v>
      </c>
      <c r="D48" s="17">
        <v>0.58333333333333304</v>
      </c>
      <c r="E48" s="17">
        <f t="shared" ref="E48:E50" si="35">IF(D48&gt;C48,D48-C48,C48-D48)</f>
        <v>0.33333333333333298</v>
      </c>
      <c r="F48" s="17"/>
      <c r="G48" s="29"/>
      <c r="H48" s="17">
        <f t="shared" ref="H48:H50" si="36">IF(G48&gt;F48,G48-F48,F48-G48)</f>
        <v>0</v>
      </c>
      <c r="I48" s="17"/>
      <c r="J48" s="29"/>
      <c r="K48" s="17">
        <f t="shared" ref="K48:K50" si="37">IF(J48&gt;I48,J48-I48,I48-J48)</f>
        <v>0</v>
      </c>
      <c r="L48" s="17">
        <f t="shared" ref="L48:L50" si="38">E48+H48+K48</f>
        <v>0.33333333333333298</v>
      </c>
    </row>
    <row r="49" spans="1:12">
      <c r="A49" s="3" t="s">
        <v>162</v>
      </c>
      <c r="B49" s="13" t="s">
        <v>163</v>
      </c>
      <c r="C49" s="29">
        <v>0.41666666666666702</v>
      </c>
      <c r="D49" s="17">
        <v>0.58333333333333304</v>
      </c>
      <c r="E49" s="17">
        <f t="shared" si="35"/>
        <v>0.16666666666666699</v>
      </c>
      <c r="F49" s="17"/>
      <c r="G49" s="29"/>
      <c r="H49" s="17">
        <f t="shared" si="36"/>
        <v>0</v>
      </c>
      <c r="I49" s="17">
        <v>0.75</v>
      </c>
      <c r="J49" s="17">
        <v>0.91666666666666696</v>
      </c>
      <c r="K49" s="17">
        <f t="shared" si="37"/>
        <v>0.16666666666666699</v>
      </c>
      <c r="L49" s="17">
        <f t="shared" si="38"/>
        <v>0.33333333333333298</v>
      </c>
    </row>
    <row r="50" spans="1:12">
      <c r="A50" s="3" t="s">
        <v>164</v>
      </c>
      <c r="B50" s="13" t="s">
        <v>165</v>
      </c>
      <c r="C50" s="20"/>
      <c r="D50" s="17"/>
      <c r="E50" s="17">
        <f t="shared" si="35"/>
        <v>0</v>
      </c>
      <c r="F50" s="17">
        <v>0.58333333333333304</v>
      </c>
      <c r="G50" s="29">
        <v>0.75</v>
      </c>
      <c r="H50" s="17">
        <f t="shared" si="36"/>
        <v>0.16666666666666699</v>
      </c>
      <c r="I50" s="17">
        <v>0.77083333333333304</v>
      </c>
      <c r="J50" s="29">
        <v>0.91666666666666696</v>
      </c>
      <c r="K50" s="17">
        <f t="shared" si="37"/>
        <v>0.14583333333333301</v>
      </c>
      <c r="L50" s="17">
        <f t="shared" si="38"/>
        <v>0.3125</v>
      </c>
    </row>
    <row r="51" spans="1:12" s="50" customFormat="1">
      <c r="A51" s="32"/>
      <c r="B51" s="65"/>
      <c r="C51" s="66"/>
      <c r="D51" s="66"/>
      <c r="E51" s="52">
        <f>SUM(E48:E50)</f>
        <v>0.5</v>
      </c>
      <c r="F51" s="66"/>
      <c r="G51" s="66"/>
      <c r="H51" s="52">
        <f>SUM(H48:H50)</f>
        <v>0.16666666666666699</v>
      </c>
      <c r="K51" s="52">
        <f>SUM(K48:K50)</f>
        <v>0.3125</v>
      </c>
      <c r="L51" s="52">
        <f>SUM(L48:L50)</f>
        <v>0.97916666666666696</v>
      </c>
    </row>
    <row r="52" spans="1:12">
      <c r="B52" s="68"/>
    </row>
    <row r="53" spans="1:12">
      <c r="C53" s="2" t="s">
        <v>159</v>
      </c>
      <c r="D53" s="18"/>
      <c r="F53" s="18"/>
      <c r="G53" s="28" t="s">
        <v>38</v>
      </c>
      <c r="H53" s="6">
        <f>+H45+1</f>
        <v>46250</v>
      </c>
    </row>
    <row r="54" spans="1:12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2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2">
      <c r="A56" s="3" t="s">
        <v>160</v>
      </c>
      <c r="B56" s="13" t="s">
        <v>161</v>
      </c>
      <c r="C56" s="20">
        <v>0.25</v>
      </c>
      <c r="D56" s="17">
        <v>0.58333333333333304</v>
      </c>
      <c r="E56" s="17">
        <f t="shared" ref="E56:E58" si="39">IF(D56&gt;C56,D56-C56,C56-D56)</f>
        <v>0.33333333333333298</v>
      </c>
      <c r="F56" s="17"/>
      <c r="G56" s="29"/>
      <c r="H56" s="17">
        <f t="shared" ref="H56:H58" si="40">IF(G56&gt;F56,G56-F56,F56-G56)</f>
        <v>0</v>
      </c>
      <c r="I56" s="17"/>
      <c r="J56" s="29"/>
      <c r="K56" s="17">
        <f t="shared" ref="K56:K58" si="41">IF(J56&gt;I56,J56-I56,I56-J56)</f>
        <v>0</v>
      </c>
      <c r="L56" s="17">
        <f t="shared" ref="L56:L58" si="42">E56+H56+K56</f>
        <v>0.33333333333333298</v>
      </c>
    </row>
    <row r="57" spans="1:12">
      <c r="A57" s="3" t="s">
        <v>162</v>
      </c>
      <c r="B57" s="13" t="s">
        <v>163</v>
      </c>
      <c r="C57" s="29"/>
      <c r="D57" s="17"/>
      <c r="E57" s="17">
        <f t="shared" si="39"/>
        <v>0</v>
      </c>
      <c r="F57" s="17">
        <v>0.58333333333333304</v>
      </c>
      <c r="G57" s="29">
        <v>0.75</v>
      </c>
      <c r="H57" s="17">
        <f t="shared" si="40"/>
        <v>0.16666666666666699</v>
      </c>
      <c r="I57" s="17">
        <v>0.75</v>
      </c>
      <c r="J57" s="29">
        <v>0.91666666666666696</v>
      </c>
      <c r="K57" s="17">
        <f t="shared" si="41"/>
        <v>0.16666666666666699</v>
      </c>
      <c r="L57" s="17">
        <f t="shared" si="42"/>
        <v>0.33333333333333298</v>
      </c>
    </row>
    <row r="58" spans="1:12">
      <c r="A58" s="3" t="s">
        <v>164</v>
      </c>
      <c r="B58" s="13" t="s">
        <v>165</v>
      </c>
      <c r="C58" s="20">
        <v>0.41666666666666702</v>
      </c>
      <c r="D58" s="17">
        <v>0.58333333333333304</v>
      </c>
      <c r="E58" s="17">
        <f t="shared" si="39"/>
        <v>0.16666666666666699</v>
      </c>
      <c r="F58" s="17"/>
      <c r="G58" s="29"/>
      <c r="H58" s="17">
        <f t="shared" si="40"/>
        <v>0</v>
      </c>
      <c r="I58" s="17">
        <v>0.75</v>
      </c>
      <c r="J58" s="29">
        <v>0.91666666666666696</v>
      </c>
      <c r="K58" s="17">
        <f t="shared" si="41"/>
        <v>0.16666666666666699</v>
      </c>
      <c r="L58" s="17">
        <f t="shared" si="42"/>
        <v>0.33333333333333298</v>
      </c>
    </row>
    <row r="59" spans="1:12" s="50" customFormat="1">
      <c r="A59" s="32"/>
      <c r="B59" s="65"/>
      <c r="C59" s="66"/>
      <c r="D59" s="66"/>
      <c r="E59" s="52">
        <f>SUM(E56:E58)</f>
        <v>0.5</v>
      </c>
      <c r="F59" s="66"/>
      <c r="G59" s="66"/>
      <c r="H59" s="52">
        <f>SUM(H56:H58)</f>
        <v>0.16666666666666699</v>
      </c>
      <c r="K59" s="52">
        <f>SUM(K56:K58)</f>
        <v>0.33333333333333298</v>
      </c>
      <c r="L59" s="52">
        <f>SUM(L56:L58)</f>
        <v>1</v>
      </c>
    </row>
    <row r="61" spans="1:12">
      <c r="C61" s="2" t="s">
        <v>159</v>
      </c>
      <c r="D61" s="18"/>
      <c r="F61" s="18"/>
      <c r="G61" s="28" t="s">
        <v>39</v>
      </c>
      <c r="H61" s="6">
        <f>+H53+1</f>
        <v>46251</v>
      </c>
    </row>
    <row r="62" spans="1:12">
      <c r="C62" s="168" t="s">
        <v>3</v>
      </c>
      <c r="D62" s="168"/>
      <c r="E62" s="168"/>
      <c r="F62" s="169" t="s">
        <v>4</v>
      </c>
      <c r="G62" s="169"/>
      <c r="H62" s="169"/>
      <c r="I62" s="170" t="s">
        <v>5</v>
      </c>
      <c r="J62" s="170"/>
      <c r="K62" s="170"/>
    </row>
    <row r="63" spans="1:12">
      <c r="B63" s="7" t="s">
        <v>6</v>
      </c>
      <c r="C63" s="8" t="s">
        <v>7</v>
      </c>
      <c r="D63" s="8" t="s">
        <v>8</v>
      </c>
      <c r="E63" s="8" t="s">
        <v>9</v>
      </c>
      <c r="F63" s="9" t="s">
        <v>7</v>
      </c>
      <c r="G63" s="9" t="s">
        <v>8</v>
      </c>
      <c r="H63" s="9" t="s">
        <v>9</v>
      </c>
      <c r="I63" s="16" t="s">
        <v>7</v>
      </c>
      <c r="J63" s="16" t="s">
        <v>8</v>
      </c>
      <c r="K63" s="16" t="s">
        <v>9</v>
      </c>
      <c r="L63" s="7" t="s">
        <v>10</v>
      </c>
    </row>
    <row r="64" spans="1:12">
      <c r="A64" s="3" t="s">
        <v>160</v>
      </c>
      <c r="B64" s="13" t="s">
        <v>161</v>
      </c>
      <c r="C64" s="29">
        <v>0.25</v>
      </c>
      <c r="D64" s="17">
        <v>0.58333333333333304</v>
      </c>
      <c r="E64" s="17">
        <f t="shared" ref="E64" si="43">IF(D64&gt;C64,D64-C64,C64-D64)</f>
        <v>0.33333333333333298</v>
      </c>
      <c r="F64" s="17"/>
      <c r="G64" s="29"/>
      <c r="H64" s="17">
        <f t="shared" ref="H64" si="44">IF(G64&gt;F64,G64-F64,F64-G64)</f>
        <v>0</v>
      </c>
      <c r="I64" s="17"/>
      <c r="J64" s="17"/>
      <c r="K64" s="17">
        <f t="shared" ref="K64" si="45">IF(J64&gt;I64,J64-I64,I64-J64)</f>
        <v>0</v>
      </c>
      <c r="L64" s="17">
        <f t="shared" ref="L64" si="46">E64+H64+K64</f>
        <v>0.33333333333333298</v>
      </c>
    </row>
    <row r="65" spans="1:13">
      <c r="A65" s="3" t="s">
        <v>162</v>
      </c>
      <c r="B65" s="13" t="s">
        <v>163</v>
      </c>
      <c r="C65" s="20"/>
      <c r="D65" s="17"/>
      <c r="E65" s="17">
        <f t="shared" ref="E65:E66" si="47">IF(D65&gt;C65,D65-C65,C65-D65)</f>
        <v>0</v>
      </c>
      <c r="F65" s="17">
        <v>0.58333333333333304</v>
      </c>
      <c r="G65" s="29">
        <v>0.75</v>
      </c>
      <c r="H65" s="17">
        <f t="shared" ref="H65:H66" si="48">IF(G65&gt;F65,G65-F65,F65-G65)</f>
        <v>0.16666666666666699</v>
      </c>
      <c r="I65" s="17">
        <v>0.77083333333333304</v>
      </c>
      <c r="J65" s="29">
        <v>0.91666666666666696</v>
      </c>
      <c r="K65" s="17">
        <f t="shared" ref="K65:K66" si="49">IF(J65&gt;I65,J65-I65,I65-J65)</f>
        <v>0.14583333333333301</v>
      </c>
      <c r="L65" s="17">
        <f t="shared" ref="L65:L66" si="50">E65+H65+K65</f>
        <v>0.3125</v>
      </c>
    </row>
    <row r="66" spans="1:13">
      <c r="A66" s="3" t="s">
        <v>164</v>
      </c>
      <c r="B66" s="13" t="s">
        <v>165</v>
      </c>
      <c r="C66" s="20">
        <v>0.41666666666666702</v>
      </c>
      <c r="D66" s="17">
        <v>0.58333333333333304</v>
      </c>
      <c r="E66" s="17">
        <f t="shared" si="47"/>
        <v>0.16666666666666699</v>
      </c>
      <c r="F66" s="17"/>
      <c r="G66" s="29"/>
      <c r="H66" s="17">
        <f t="shared" si="48"/>
        <v>0</v>
      </c>
      <c r="I66" s="17">
        <v>0.75</v>
      </c>
      <c r="J66" s="29">
        <v>0.91666666666666696</v>
      </c>
      <c r="K66" s="17">
        <f t="shared" si="49"/>
        <v>0.16666666666666699</v>
      </c>
      <c r="L66" s="17">
        <f t="shared" si="50"/>
        <v>0.33333333333333298</v>
      </c>
      <c r="M66" t="s">
        <v>25</v>
      </c>
    </row>
    <row r="67" spans="1:13" s="50" customFormat="1">
      <c r="A67" s="32"/>
      <c r="B67" s="65"/>
      <c r="C67" s="66"/>
      <c r="D67" s="66"/>
      <c r="E67" s="52">
        <f>SUM(E64:E66)</f>
        <v>0.5</v>
      </c>
      <c r="F67" s="66"/>
      <c r="G67" s="66"/>
      <c r="H67" s="52">
        <f>SUM(H64:H66)</f>
        <v>0.16666666666666699</v>
      </c>
      <c r="K67" s="52">
        <f>SUM(K64:K66)</f>
        <v>0.3125</v>
      </c>
      <c r="L67" s="52">
        <f>SUM(L64:L66)</f>
        <v>0.97916666666666696</v>
      </c>
    </row>
    <row r="70" spans="1:13">
      <c r="B70" s="13"/>
      <c r="C70" s="21"/>
    </row>
    <row r="71" spans="1:13">
      <c r="A71" s="3" t="s">
        <v>160</v>
      </c>
      <c r="B71" s="13" t="s">
        <v>161</v>
      </c>
      <c r="C71" s="21">
        <f>+L8+L16+L24+L32+L40+L48+L56</f>
        <v>1.9583333333333299</v>
      </c>
    </row>
    <row r="72" spans="1:13">
      <c r="A72" s="3" t="s">
        <v>162</v>
      </c>
      <c r="B72" s="13" t="s">
        <v>163</v>
      </c>
      <c r="C72" s="21">
        <f>+L9+L17+L25+L33+L41+L49+L57</f>
        <v>2.1458333333333299</v>
      </c>
    </row>
    <row r="73" spans="1:13">
      <c r="A73" s="3" t="s">
        <v>164</v>
      </c>
      <c r="B73" s="13" t="s">
        <v>165</v>
      </c>
      <c r="C73" s="21">
        <f>+L10+L18+L26+L34+L42+L50+L58</f>
        <v>2.1041666666666701</v>
      </c>
    </row>
  </sheetData>
  <mergeCells count="25">
    <mergeCell ref="C30:E30"/>
    <mergeCell ref="F30:H30"/>
    <mergeCell ref="I30:K30"/>
    <mergeCell ref="C6:E6"/>
    <mergeCell ref="F6:H6"/>
    <mergeCell ref="I6:K6"/>
    <mergeCell ref="C14:E14"/>
    <mergeCell ref="F14:H14"/>
    <mergeCell ref="I14:K14"/>
    <mergeCell ref="E2:I3"/>
    <mergeCell ref="C54:E54"/>
    <mergeCell ref="F54:H54"/>
    <mergeCell ref="I54:K54"/>
    <mergeCell ref="C62:E62"/>
    <mergeCell ref="F62:H62"/>
    <mergeCell ref="I62:K62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</mergeCells>
  <pageMargins left="0.7" right="0.7" top="0.75" bottom="0.75" header="0.3" footer="0.3"/>
  <pageSetup paperSize="9" orientation="portrait" verticalDpi="1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2:M44"/>
  <sheetViews>
    <sheetView zoomScale="87" zoomScaleNormal="87" workbookViewId="0">
      <selection activeCell="O4" sqref="O4"/>
    </sheetView>
  </sheetViews>
  <sheetFormatPr defaultColWidth="11" defaultRowHeight="15"/>
  <sheetData>
    <row r="2" spans="1:12">
      <c r="E2" s="171" t="s">
        <v>167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168</v>
      </c>
      <c r="G5" s="5" t="s">
        <v>39</v>
      </c>
      <c r="H5" s="6">
        <f>+STOCKISTE!H5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t="s">
        <v>169</v>
      </c>
      <c r="B8" s="10" t="s">
        <v>170</v>
      </c>
      <c r="C8" s="25">
        <v>0.25</v>
      </c>
      <c r="D8" s="11">
        <v>0.5</v>
      </c>
      <c r="E8" s="11">
        <f t="shared" ref="E8" si="0">IF(D8&gt;C8,D8-C8,C8-D8)</f>
        <v>0.25</v>
      </c>
      <c r="F8" s="11">
        <v>0.52083333333333304</v>
      </c>
      <c r="G8" s="25">
        <v>0.60416666666666696</v>
      </c>
      <c r="H8" s="11">
        <f>IF(G8&gt;F8,G8-F8,F8-G8)</f>
        <v>8.3333333333333301E-2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E9" s="11">
        <f>SUM(E8:E8)</f>
        <v>0.25</v>
      </c>
      <c r="H9" s="11">
        <f>SUM(H8:H8)</f>
        <v>8.3333333333333301E-2</v>
      </c>
      <c r="K9" s="11">
        <f>SUM(K8:K8)</f>
        <v>0</v>
      </c>
      <c r="L9" s="15">
        <f>SUM(L8:L8)</f>
        <v>0.33333333333333298</v>
      </c>
    </row>
    <row r="11" spans="1:12">
      <c r="C11" s="2" t="s">
        <v>168</v>
      </c>
      <c r="G11" s="5" t="s">
        <v>32</v>
      </c>
      <c r="H11" s="6">
        <f>+H5+1</f>
        <v>46245</v>
      </c>
    </row>
    <row r="12" spans="1:12">
      <c r="C12" s="168" t="s">
        <v>3</v>
      </c>
      <c r="D12" s="168"/>
      <c r="E12" s="168"/>
      <c r="F12" s="169" t="s">
        <v>4</v>
      </c>
      <c r="G12" s="169"/>
      <c r="H12" s="169"/>
      <c r="I12" s="170" t="s">
        <v>5</v>
      </c>
      <c r="J12" s="170"/>
      <c r="K12" s="170"/>
    </row>
    <row r="13" spans="1:12">
      <c r="B13" s="7" t="s">
        <v>6</v>
      </c>
      <c r="C13" s="8" t="s">
        <v>7</v>
      </c>
      <c r="D13" s="8" t="s">
        <v>8</v>
      </c>
      <c r="E13" s="8" t="s">
        <v>9</v>
      </c>
      <c r="F13" s="9" t="s">
        <v>7</v>
      </c>
      <c r="G13" s="9" t="s">
        <v>8</v>
      </c>
      <c r="H13" s="9" t="s">
        <v>9</v>
      </c>
      <c r="I13" s="16" t="s">
        <v>7</v>
      </c>
      <c r="J13" s="16" t="s">
        <v>8</v>
      </c>
      <c r="K13" s="16" t="s">
        <v>9</v>
      </c>
      <c r="L13" s="7" t="s">
        <v>10</v>
      </c>
    </row>
    <row r="14" spans="1:12">
      <c r="A14" t="s">
        <v>169</v>
      </c>
      <c r="B14" s="10" t="s">
        <v>170</v>
      </c>
      <c r="C14" s="25">
        <v>0.25</v>
      </c>
      <c r="D14" s="11">
        <v>0.5</v>
      </c>
      <c r="E14" s="11">
        <f t="shared" ref="E14" si="1">IF(D14&gt;C14,D14-C14,C14-D14)</f>
        <v>0.25</v>
      </c>
      <c r="F14" s="11">
        <v>0.52083333333333304</v>
      </c>
      <c r="G14" s="25">
        <v>0.60416666666666696</v>
      </c>
      <c r="H14" s="11">
        <f>IF(G14&gt;F14,G14-F14,F14-G14)</f>
        <v>8.3333333333333301E-2</v>
      </c>
      <c r="I14" s="17"/>
      <c r="J14" s="17"/>
      <c r="K14" s="11">
        <f>IF(J14&gt;I14,J14-I14,I14-J14)</f>
        <v>0</v>
      </c>
      <c r="L14" s="11">
        <f>E14+H14+K14</f>
        <v>0.33333333333333298</v>
      </c>
    </row>
    <row r="15" spans="1:12">
      <c r="E15" s="11">
        <f>SUM(E14:E14)</f>
        <v>0.25</v>
      </c>
      <c r="H15" s="11">
        <f>SUM(H14:H14)</f>
        <v>8.3333333333333301E-2</v>
      </c>
      <c r="K15" s="11">
        <f>SUM(K14:K14)</f>
        <v>0</v>
      </c>
      <c r="L15" s="15">
        <f>SUM(L14:L14)</f>
        <v>0.33333333333333298</v>
      </c>
    </row>
    <row r="17" spans="1:12">
      <c r="C17" s="2" t="s">
        <v>168</v>
      </c>
      <c r="G17" s="5" t="s">
        <v>34</v>
      </c>
      <c r="H17" s="6">
        <f>+H11+1</f>
        <v>46246</v>
      </c>
    </row>
    <row r="18" spans="1:12">
      <c r="C18" s="168" t="s">
        <v>3</v>
      </c>
      <c r="D18" s="168"/>
      <c r="E18" s="168"/>
      <c r="F18" s="169" t="s">
        <v>4</v>
      </c>
      <c r="G18" s="169"/>
      <c r="H18" s="169"/>
      <c r="I18" s="170" t="s">
        <v>5</v>
      </c>
      <c r="J18" s="170"/>
      <c r="K18" s="170"/>
    </row>
    <row r="19" spans="1:12">
      <c r="B19" s="7" t="s">
        <v>6</v>
      </c>
      <c r="C19" s="8" t="s">
        <v>7</v>
      </c>
      <c r="D19" s="8" t="s">
        <v>8</v>
      </c>
      <c r="E19" s="8" t="s">
        <v>9</v>
      </c>
      <c r="F19" s="9" t="s">
        <v>7</v>
      </c>
      <c r="G19" s="9" t="s">
        <v>8</v>
      </c>
      <c r="H19" s="9" t="s">
        <v>9</v>
      </c>
      <c r="I19" s="16" t="s">
        <v>7</v>
      </c>
      <c r="J19" s="16" t="s">
        <v>8</v>
      </c>
      <c r="K19" s="16" t="s">
        <v>9</v>
      </c>
      <c r="L19" s="7" t="s">
        <v>10</v>
      </c>
    </row>
    <row r="20" spans="1:12">
      <c r="A20" t="s">
        <v>169</v>
      </c>
      <c r="B20" s="10" t="s">
        <v>170</v>
      </c>
      <c r="C20" s="25">
        <v>0.25</v>
      </c>
      <c r="D20" s="11">
        <v>0.5</v>
      </c>
      <c r="E20" s="11">
        <f t="shared" ref="E20" si="2">IF(D20&gt;C20,D20-C20,C20-D20)</f>
        <v>0.25</v>
      </c>
      <c r="F20" s="11">
        <v>0.52083333333333304</v>
      </c>
      <c r="G20" s="25">
        <v>0.60416666666666696</v>
      </c>
      <c r="H20" s="11">
        <f>IF(G20&gt;F20,G20-F20,F20-G20)</f>
        <v>8.3333333333333301E-2</v>
      </c>
      <c r="I20" s="17"/>
      <c r="J20" s="17"/>
      <c r="K20" s="11">
        <f>IF(J20&gt;I20,J20-I20,I20-J20)</f>
        <v>0</v>
      </c>
      <c r="L20" s="11">
        <f>E20+H20+K20</f>
        <v>0.33333333333333298</v>
      </c>
    </row>
    <row r="21" spans="1:12">
      <c r="E21" s="11">
        <f>SUM(E20:E20)</f>
        <v>0.25</v>
      </c>
      <c r="H21" s="11">
        <f>SUM(H20:H20)</f>
        <v>8.3333333333333301E-2</v>
      </c>
      <c r="K21" s="11">
        <f>SUM(K20:K20)</f>
        <v>0</v>
      </c>
      <c r="L21" s="15">
        <f>SUM(L20:L20)</f>
        <v>0.33333333333333298</v>
      </c>
    </row>
    <row r="23" spans="1:12">
      <c r="C23" s="2" t="s">
        <v>168</v>
      </c>
      <c r="G23" s="5" t="s">
        <v>35</v>
      </c>
      <c r="H23" s="6">
        <f>+H17+1</f>
        <v>46247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>
      <c r="A26" t="s">
        <v>169</v>
      </c>
      <c r="B26" s="10" t="s">
        <v>170</v>
      </c>
      <c r="C26" s="25">
        <v>0.25</v>
      </c>
      <c r="D26" s="11">
        <v>0.5</v>
      </c>
      <c r="E26" s="11">
        <f t="shared" ref="E26" si="3">IF(D26&gt;C26,D26-C26,C26-D26)</f>
        <v>0.25</v>
      </c>
      <c r="F26" s="11">
        <v>0.52083333333333304</v>
      </c>
      <c r="G26" s="25">
        <v>0.60416666666666696</v>
      </c>
      <c r="H26" s="11">
        <f>IF(G26&gt;F26,G26-F26,F26-G26)</f>
        <v>8.3333333333333301E-2</v>
      </c>
      <c r="I26" s="17"/>
      <c r="J26" s="17"/>
      <c r="K26" s="11">
        <f>IF(J26&gt;I26,J26-I26,I26-J26)</f>
        <v>0</v>
      </c>
      <c r="L26" s="11">
        <f>E26+H26+K26</f>
        <v>0.33333333333333298</v>
      </c>
    </row>
    <row r="27" spans="1:12">
      <c r="E27" s="11">
        <f>SUM(E26:E26)</f>
        <v>0.25</v>
      </c>
      <c r="H27" s="11">
        <f>SUM(H26:H26)</f>
        <v>8.3333333333333301E-2</v>
      </c>
      <c r="K27" s="11">
        <f>SUM(K26:K26)</f>
        <v>0</v>
      </c>
      <c r="L27" s="15">
        <f>SUM(L26:L26)</f>
        <v>0.33333333333333298</v>
      </c>
    </row>
    <row r="29" spans="1:12">
      <c r="C29" s="2" t="s">
        <v>168</v>
      </c>
      <c r="G29" s="5" t="s">
        <v>36</v>
      </c>
      <c r="H29" s="6">
        <f>+H23+1</f>
        <v>46248</v>
      </c>
    </row>
    <row r="30" spans="1:1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2">
      <c r="A32" t="s">
        <v>169</v>
      </c>
      <c r="B32" s="10" t="s">
        <v>170</v>
      </c>
      <c r="C32" s="25">
        <v>0.25</v>
      </c>
      <c r="D32" s="11">
        <v>0.5</v>
      </c>
      <c r="E32" s="11">
        <f t="shared" ref="E32" si="4">IF(D32&gt;C32,D32-C32,C32-D32)</f>
        <v>0.25</v>
      </c>
      <c r="F32" s="11">
        <v>0.52083333333333304</v>
      </c>
      <c r="G32" s="25">
        <v>0.60416666666666696</v>
      </c>
      <c r="H32" s="11">
        <f>IF(G32&gt;F32,G32-F32,F32-G32)</f>
        <v>8.3333333333333301E-2</v>
      </c>
      <c r="I32" s="17"/>
      <c r="J32" s="17"/>
      <c r="K32" s="11">
        <f>IF(J32&gt;I32,J32-I32,I32-J32)</f>
        <v>0</v>
      </c>
      <c r="L32" s="11">
        <f>E32+H32+K32</f>
        <v>0.33333333333333298</v>
      </c>
    </row>
    <row r="33" spans="1:13">
      <c r="E33" s="11">
        <f>SUM(E32:E32)</f>
        <v>0.25</v>
      </c>
      <c r="H33" s="11">
        <f>SUM(H32:H32)</f>
        <v>8.3333333333333301E-2</v>
      </c>
      <c r="K33" s="11">
        <f>SUM(K32:K32)</f>
        <v>0</v>
      </c>
      <c r="L33" s="15">
        <f>SUM(L32:L32)</f>
        <v>0.33333333333333298</v>
      </c>
    </row>
    <row r="35" spans="1:13">
      <c r="C35" s="2" t="s">
        <v>168</v>
      </c>
      <c r="G35" s="5" t="s">
        <v>37</v>
      </c>
      <c r="H35" s="6">
        <f>+H29+1</f>
        <v>46249</v>
      </c>
    </row>
    <row r="36" spans="1:13">
      <c r="C36" s="168" t="s">
        <v>3</v>
      </c>
      <c r="D36" s="168"/>
      <c r="E36" s="168"/>
      <c r="F36" s="169" t="s">
        <v>4</v>
      </c>
      <c r="G36" s="169"/>
      <c r="H36" s="169"/>
      <c r="I36" s="170" t="s">
        <v>5</v>
      </c>
      <c r="J36" s="170"/>
      <c r="K36" s="170"/>
    </row>
    <row r="37" spans="1:13">
      <c r="B37" s="7" t="s">
        <v>6</v>
      </c>
      <c r="C37" s="8" t="s">
        <v>7</v>
      </c>
      <c r="D37" s="8" t="s">
        <v>8</v>
      </c>
      <c r="E37" s="8" t="s">
        <v>9</v>
      </c>
      <c r="F37" s="9" t="s">
        <v>7</v>
      </c>
      <c r="G37" s="9" t="s">
        <v>8</v>
      </c>
      <c r="H37" s="9" t="s">
        <v>9</v>
      </c>
      <c r="I37" s="16" t="s">
        <v>7</v>
      </c>
      <c r="J37" s="16" t="s">
        <v>8</v>
      </c>
      <c r="K37" s="16" t="s">
        <v>9</v>
      </c>
      <c r="L37" s="7" t="s">
        <v>10</v>
      </c>
    </row>
    <row r="38" spans="1:13">
      <c r="A38" t="s">
        <v>169</v>
      </c>
      <c r="B38" s="10" t="s">
        <v>170</v>
      </c>
      <c r="C38" s="25">
        <v>0.25</v>
      </c>
      <c r="D38" s="11">
        <v>0.5</v>
      </c>
      <c r="E38" s="11">
        <f t="shared" ref="E38" si="5">IF(D38&gt;C38,D38-C38,C38-D38)</f>
        <v>0.25</v>
      </c>
      <c r="F38" s="11">
        <v>0.52083333333333304</v>
      </c>
      <c r="G38" s="25">
        <v>0.60416666666666696</v>
      </c>
      <c r="H38" s="11">
        <f>IF(G38&gt;F38,G38-F38,F38-G38)</f>
        <v>8.3333333333333301E-2</v>
      </c>
      <c r="I38" s="17"/>
      <c r="J38" s="17"/>
      <c r="K38" s="11">
        <f>IF(J38&gt;I38,J38-I38,I38-J38)</f>
        <v>0</v>
      </c>
      <c r="L38" s="11">
        <f>E38+H38+K38</f>
        <v>0.33333333333333298</v>
      </c>
    </row>
    <row r="40" spans="1:13">
      <c r="C40" s="2" t="s">
        <v>168</v>
      </c>
      <c r="G40" s="5" t="s">
        <v>38</v>
      </c>
      <c r="H40" s="6">
        <f>+H35+1</f>
        <v>46250</v>
      </c>
    </row>
    <row r="41" spans="1:13">
      <c r="C41" s="168" t="s">
        <v>3</v>
      </c>
      <c r="D41" s="168"/>
      <c r="E41" s="168"/>
      <c r="F41" s="169" t="s">
        <v>4</v>
      </c>
      <c r="G41" s="169"/>
      <c r="H41" s="169"/>
      <c r="I41" s="170" t="s">
        <v>5</v>
      </c>
      <c r="J41" s="170"/>
      <c r="K41" s="170"/>
    </row>
    <row r="42" spans="1:13">
      <c r="B42" s="7" t="s">
        <v>6</v>
      </c>
      <c r="C42" s="8" t="s">
        <v>7</v>
      </c>
      <c r="D42" s="8" t="s">
        <v>8</v>
      </c>
      <c r="E42" s="8" t="s">
        <v>9</v>
      </c>
      <c r="F42" s="9" t="s">
        <v>7</v>
      </c>
      <c r="G42" s="9" t="s">
        <v>8</v>
      </c>
      <c r="H42" s="9" t="s">
        <v>9</v>
      </c>
      <c r="I42" s="16" t="s">
        <v>7</v>
      </c>
      <c r="J42" s="16" t="s">
        <v>8</v>
      </c>
      <c r="K42" s="16" t="s">
        <v>9</v>
      </c>
      <c r="L42" s="7" t="s">
        <v>10</v>
      </c>
    </row>
    <row r="43" spans="1:13">
      <c r="A43" t="s">
        <v>169</v>
      </c>
      <c r="B43" s="10" t="s">
        <v>170</v>
      </c>
      <c r="C43" s="19"/>
      <c r="D43" s="19"/>
      <c r="E43" s="19">
        <f t="shared" ref="E43" si="6">IF(D43&gt;C43,D43-C43,C43-D43)</f>
        <v>0</v>
      </c>
      <c r="F43" s="19"/>
      <c r="G43" s="19"/>
      <c r="H43" s="19">
        <f>IF(G43&gt;F43,G43-F43,F43-G43)</f>
        <v>0</v>
      </c>
      <c r="I43" s="22"/>
      <c r="J43" s="22"/>
      <c r="K43" s="19">
        <f>IF(J43&gt;I43,J43-I43,I43-J43)</f>
        <v>0</v>
      </c>
      <c r="L43" s="11">
        <f>E43+H43+K43</f>
        <v>0</v>
      </c>
      <c r="M43" t="s">
        <v>25</v>
      </c>
    </row>
    <row r="44" spans="1:13">
      <c r="E44" s="11">
        <f>SUM(E43:E43)</f>
        <v>0</v>
      </c>
      <c r="H44" s="11">
        <f>SUM(H43:H43)</f>
        <v>0</v>
      </c>
      <c r="K44" s="11">
        <f>SUM(K43:K43)</f>
        <v>0</v>
      </c>
      <c r="L44" s="15">
        <f>SUM(L43:L43)</f>
        <v>0</v>
      </c>
    </row>
  </sheetData>
  <mergeCells count="22">
    <mergeCell ref="C6:E6"/>
    <mergeCell ref="F6:H6"/>
    <mergeCell ref="I6:K6"/>
    <mergeCell ref="C12:E12"/>
    <mergeCell ref="F12:H12"/>
    <mergeCell ref="I12:K12"/>
    <mergeCell ref="C41:E41"/>
    <mergeCell ref="F41:H41"/>
    <mergeCell ref="I41:K41"/>
    <mergeCell ref="E2:I3"/>
    <mergeCell ref="C30:E30"/>
    <mergeCell ref="F30:H30"/>
    <mergeCell ref="I30:K30"/>
    <mergeCell ref="C36:E36"/>
    <mergeCell ref="F36:H36"/>
    <mergeCell ref="I36:K36"/>
    <mergeCell ref="C18:E18"/>
    <mergeCell ref="F18:H18"/>
    <mergeCell ref="I18:K18"/>
    <mergeCell ref="C24:E24"/>
    <mergeCell ref="F24:H24"/>
    <mergeCell ref="I24:K24"/>
  </mergeCells>
  <pageMargins left="0.7" right="0.7" top="0.75" bottom="0.28999999999999998" header="0.3" footer="0.3"/>
  <pageSetup paperSize="9" fitToHeight="0" orientation="landscape" verticalDpi="1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2:V64"/>
  <sheetViews>
    <sheetView topLeftCell="A10" zoomScale="87" zoomScaleNormal="87" workbookViewId="0">
      <selection activeCell="N4" sqref="N4"/>
    </sheetView>
  </sheetViews>
  <sheetFormatPr defaultColWidth="11" defaultRowHeight="15"/>
  <sheetData>
    <row r="2" spans="1:22">
      <c r="E2" s="171" t="s">
        <v>171</v>
      </c>
      <c r="F2" s="171"/>
      <c r="G2" s="171"/>
      <c r="H2" s="171"/>
      <c r="I2" s="171"/>
    </row>
    <row r="3" spans="1:22">
      <c r="E3" s="171"/>
      <c r="F3" s="171"/>
      <c r="G3" s="171"/>
      <c r="H3" s="171"/>
      <c r="I3" s="171"/>
    </row>
    <row r="5" spans="1:22">
      <c r="C5" s="2" t="s">
        <v>172</v>
      </c>
      <c r="G5" s="5" t="s">
        <v>39</v>
      </c>
      <c r="H5" s="6">
        <f>+'RESPONSABLE ESPACE COMMUN'!H5</f>
        <v>46244</v>
      </c>
    </row>
    <row r="6" spans="1:2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2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22">
      <c r="A8" t="s">
        <v>173</v>
      </c>
      <c r="B8" s="10" t="s">
        <v>174</v>
      </c>
      <c r="C8" s="19"/>
      <c r="D8" s="19"/>
      <c r="E8" s="19">
        <f>IF(D8&gt;C8,D8-C8,C8-D8)</f>
        <v>0</v>
      </c>
      <c r="F8" s="19"/>
      <c r="G8" s="19"/>
      <c r="H8" s="19">
        <f>IF(G8&gt;F8,G8-F8,F8-G8)</f>
        <v>0</v>
      </c>
      <c r="I8" s="22"/>
      <c r="J8" s="22"/>
      <c r="K8" s="19">
        <f>IF(J8&gt;I8,J8-I8,I8-J8)</f>
        <v>0</v>
      </c>
      <c r="L8" s="11">
        <f>E8+H8+K8</f>
        <v>0</v>
      </c>
      <c r="M8" t="s">
        <v>25</v>
      </c>
      <c r="R8">
        <v>50</v>
      </c>
      <c r="S8">
        <v>130</v>
      </c>
      <c r="T8" s="58">
        <f>+R8*S8</f>
        <v>6500</v>
      </c>
    </row>
    <row r="9" spans="1:22">
      <c r="A9" t="s">
        <v>175</v>
      </c>
      <c r="B9" s="10" t="s">
        <v>176</v>
      </c>
      <c r="C9" s="19"/>
      <c r="D9" s="19"/>
      <c r="E9" s="19">
        <f t="shared" ref="E9:E10" si="0">IF(D9&gt;C9,D9-C9,C9-D9)</f>
        <v>0</v>
      </c>
      <c r="F9" s="19"/>
      <c r="G9" s="19"/>
      <c r="H9" s="19">
        <f t="shared" ref="H9:H10" si="1">IF(G9&gt;F9,G9-F9,F9-G9)</f>
        <v>0</v>
      </c>
      <c r="I9" s="22"/>
      <c r="J9" s="22"/>
      <c r="K9" s="19">
        <f t="shared" ref="K9:K10" si="2">IF(J9&gt;I9,J9-I9,I9-J9)</f>
        <v>0</v>
      </c>
      <c r="L9" s="11">
        <f t="shared" ref="L9:L10" si="3">E9+H9+K9</f>
        <v>0</v>
      </c>
      <c r="M9" t="s">
        <v>25</v>
      </c>
      <c r="R9">
        <v>31</v>
      </c>
      <c r="S9">
        <v>764</v>
      </c>
      <c r="T9" s="58">
        <f>+R9*S9</f>
        <v>23684</v>
      </c>
    </row>
    <row r="10" spans="1:22">
      <c r="A10" t="s">
        <v>177</v>
      </c>
      <c r="B10" s="10" t="s">
        <v>178</v>
      </c>
      <c r="C10" s="53">
        <v>0.33333333333333298</v>
      </c>
      <c r="D10" s="54">
        <v>0.5</v>
      </c>
      <c r="E10" s="54">
        <f t="shared" si="0"/>
        <v>0.16666666666666699</v>
      </c>
      <c r="F10" s="54"/>
      <c r="G10" s="53"/>
      <c r="H10" s="11">
        <f t="shared" si="1"/>
        <v>0</v>
      </c>
      <c r="I10" s="17">
        <v>0.70833333333333304</v>
      </c>
      <c r="J10" s="17">
        <v>0.83333333333333304</v>
      </c>
      <c r="K10" s="11">
        <f t="shared" si="2"/>
        <v>0.125</v>
      </c>
      <c r="L10" s="11">
        <f t="shared" si="3"/>
        <v>0.29166666666666702</v>
      </c>
      <c r="T10" s="58"/>
    </row>
    <row r="11" spans="1:22">
      <c r="E11" s="15">
        <f>SUM(E8:E10)</f>
        <v>0.16666666666666699</v>
      </c>
      <c r="H11" s="15">
        <f>SUM(H8:H10)</f>
        <v>0</v>
      </c>
      <c r="K11" s="15">
        <f>SUM(K8:K10)</f>
        <v>0.125</v>
      </c>
      <c r="L11" s="15">
        <f>SUM(L8:L10)</f>
        <v>0.29166666666666702</v>
      </c>
      <c r="T11" s="58">
        <v>1000</v>
      </c>
    </row>
    <row r="12" spans="1:22">
      <c r="T12" s="58"/>
    </row>
    <row r="13" spans="1:22">
      <c r="C13" s="2" t="s">
        <v>172</v>
      </c>
      <c r="G13" s="5" t="s">
        <v>32</v>
      </c>
      <c r="H13" s="6">
        <f>+H5+1</f>
        <v>46245</v>
      </c>
      <c r="T13" s="59">
        <f>SUM(T8:T12)</f>
        <v>31184</v>
      </c>
      <c r="V13" s="60"/>
    </row>
    <row r="14" spans="1:22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  <c r="T14" s="58">
        <f>+T13*6.7755%</f>
        <v>2112.87192</v>
      </c>
      <c r="U14" s="60">
        <v>6.7754999999999996E-2</v>
      </c>
      <c r="V14" s="61"/>
    </row>
    <row r="15" spans="1:22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  <c r="T15" s="58">
        <f>+T13*2.904%</f>
        <v>905.58335999999997</v>
      </c>
      <c r="U15" s="60">
        <v>2.904E-2</v>
      </c>
      <c r="V15" s="62"/>
    </row>
    <row r="16" spans="1:22">
      <c r="A16" t="s">
        <v>173</v>
      </c>
      <c r="B16" s="10" t="s">
        <v>174</v>
      </c>
      <c r="C16" s="19"/>
      <c r="D16" s="19"/>
      <c r="E16" s="19">
        <f t="shared" ref="E16" si="4">IF(D16&gt;C16,D16-C16,C16-D16)</f>
        <v>0</v>
      </c>
      <c r="F16" s="19"/>
      <c r="G16" s="19"/>
      <c r="H16" s="19">
        <f t="shared" ref="H16" si="5">IF(G16&gt;F16,G16-F16,F16-G16)</f>
        <v>0</v>
      </c>
      <c r="I16" s="22"/>
      <c r="J16" s="22"/>
      <c r="K16" s="19">
        <f t="shared" ref="K16" si="6">IF(J16&gt;I16,J16-I16,I16-J16)</f>
        <v>0</v>
      </c>
      <c r="L16" s="11">
        <f t="shared" ref="L16" si="7">E16+H16+K16</f>
        <v>0</v>
      </c>
      <c r="M16" t="s">
        <v>25</v>
      </c>
      <c r="T16" s="58">
        <v>296.05</v>
      </c>
      <c r="U16" s="60">
        <f>+T16/T13%</f>
        <v>0.94936505900461798</v>
      </c>
      <c r="V16" s="61">
        <f>+T16/T13</f>
        <v>9.4936505900461796E-3</v>
      </c>
    </row>
    <row r="17" spans="1:22">
      <c r="A17" t="s">
        <v>175</v>
      </c>
      <c r="B17" s="10" t="s">
        <v>176</v>
      </c>
      <c r="C17" s="19"/>
      <c r="D17" s="19"/>
      <c r="E17" s="19">
        <f t="shared" ref="E17" si="8">IF(D17&gt;C17,D17-C17,C17-D17)</f>
        <v>0</v>
      </c>
      <c r="F17" s="19"/>
      <c r="G17" s="19"/>
      <c r="H17" s="19">
        <f t="shared" ref="H17" si="9">IF(G17&gt;F17,G17-F17,F17-G17)</f>
        <v>0</v>
      </c>
      <c r="I17" s="22"/>
      <c r="J17" s="22"/>
      <c r="K17" s="19">
        <f t="shared" ref="K17" si="10">IF(J17&gt;I17,J17-I17,I17-J17)</f>
        <v>0</v>
      </c>
      <c r="L17" s="11">
        <f t="shared" ref="L17" si="11">E17+H17+K17</f>
        <v>0</v>
      </c>
      <c r="M17" t="s">
        <v>25</v>
      </c>
      <c r="T17" s="58"/>
    </row>
    <row r="18" spans="1:22">
      <c r="A18" t="s">
        <v>177</v>
      </c>
      <c r="B18" s="10" t="s">
        <v>178</v>
      </c>
      <c r="C18" s="53">
        <v>0.33333333333333298</v>
      </c>
      <c r="D18" s="54">
        <v>0.5</v>
      </c>
      <c r="E18" s="54">
        <f t="shared" ref="E18" si="12">IF(D18&gt;C18,D18-C18,C18-D18)</f>
        <v>0.16666666666666699</v>
      </c>
      <c r="F18" s="54"/>
      <c r="G18" s="53"/>
      <c r="H18" s="11">
        <f t="shared" ref="H18" si="13">IF(G18&gt;F18,G18-F18,F18-G18)</f>
        <v>0</v>
      </c>
      <c r="I18" s="17">
        <v>0.70833333333333304</v>
      </c>
      <c r="J18" s="17">
        <v>0.83333333333333304</v>
      </c>
      <c r="K18" s="11">
        <f t="shared" ref="K18" si="14">IF(J18&gt;I18,J18-I18,I18-J18)</f>
        <v>0.125</v>
      </c>
      <c r="L18" s="11">
        <f t="shared" ref="L18" si="15">E18+H18+K18</f>
        <v>0.29166666666666702</v>
      </c>
      <c r="T18" s="63">
        <f>SUM(T13:T16)</f>
        <v>34498.505279999998</v>
      </c>
    </row>
    <row r="19" spans="1:22">
      <c r="E19" s="15">
        <f>SUM(E16:E18)</f>
        <v>0.16666666666666699</v>
      </c>
      <c r="H19" s="15">
        <f>SUM(H16:H18)</f>
        <v>0</v>
      </c>
      <c r="K19" s="15">
        <f>SUM(K16:K18)</f>
        <v>0.125</v>
      </c>
      <c r="L19" s="15">
        <f>SUM(L16:L18)</f>
        <v>0.29166666666666702</v>
      </c>
      <c r="T19" s="58"/>
    </row>
    <row r="20" spans="1:22">
      <c r="T20" s="58"/>
    </row>
    <row r="21" spans="1:22">
      <c r="C21" s="2" t="s">
        <v>172</v>
      </c>
      <c r="G21" s="5" t="s">
        <v>34</v>
      </c>
      <c r="H21" s="6">
        <f>+H13+1</f>
        <v>46246</v>
      </c>
      <c r="T21" s="58"/>
    </row>
    <row r="22" spans="1:22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  <c r="P22">
        <f>703-790</f>
        <v>-87</v>
      </c>
      <c r="R22">
        <v>50</v>
      </c>
      <c r="S22">
        <v>130</v>
      </c>
      <c r="T22" s="58">
        <f>+R22*S22</f>
        <v>6500</v>
      </c>
    </row>
    <row r="23" spans="1:22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  <c r="R23">
        <v>37</v>
      </c>
      <c r="S23">
        <v>764</v>
      </c>
      <c r="T23" s="58">
        <f>+R23*S23</f>
        <v>28268</v>
      </c>
    </row>
    <row r="24" spans="1:22">
      <c r="A24" t="s">
        <v>173</v>
      </c>
      <c r="B24" s="10" t="s">
        <v>174</v>
      </c>
      <c r="C24" s="19"/>
      <c r="D24" s="19"/>
      <c r="E24" s="19">
        <f t="shared" ref="E24:E26" si="16">IF(D24&gt;C24,D24-C24,C24-D24)</f>
        <v>0</v>
      </c>
      <c r="F24" s="19"/>
      <c r="G24" s="19"/>
      <c r="H24" s="19">
        <f t="shared" ref="H24:H26" si="17">IF(G24&gt;F24,G24-F24,F24-G24)</f>
        <v>0</v>
      </c>
      <c r="I24" s="22"/>
      <c r="J24" s="22"/>
      <c r="K24" s="19">
        <f t="shared" ref="K24:K26" si="18">IF(J24&gt;I24,J24-I24,I24-J24)</f>
        <v>0</v>
      </c>
      <c r="L24" s="11">
        <f t="shared" ref="L24:L26" si="19">E24+H24+K24</f>
        <v>0</v>
      </c>
      <c r="M24" t="s">
        <v>25</v>
      </c>
      <c r="T24" s="58"/>
    </row>
    <row r="25" spans="1:22">
      <c r="A25" t="s">
        <v>175</v>
      </c>
      <c r="B25" s="10" t="s">
        <v>176</v>
      </c>
      <c r="C25" s="53">
        <v>0.33333333333333298</v>
      </c>
      <c r="D25" s="54">
        <v>0.5</v>
      </c>
      <c r="E25" s="54">
        <f t="shared" si="16"/>
        <v>0.16666666666666699</v>
      </c>
      <c r="F25" s="54">
        <v>0.5</v>
      </c>
      <c r="G25" s="53">
        <v>0.66666666666666696</v>
      </c>
      <c r="H25" s="11">
        <f t="shared" si="17"/>
        <v>0.16666666666666699</v>
      </c>
      <c r="I25" s="17"/>
      <c r="J25" s="17"/>
      <c r="K25" s="11">
        <f t="shared" si="18"/>
        <v>0</v>
      </c>
      <c r="L25" s="11">
        <f t="shared" si="19"/>
        <v>0.33333333333333298</v>
      </c>
      <c r="T25" s="58">
        <v>1000</v>
      </c>
    </row>
    <row r="26" spans="1:22">
      <c r="A26" t="s">
        <v>177</v>
      </c>
      <c r="B26" s="10" t="s">
        <v>178</v>
      </c>
      <c r="C26" s="53">
        <v>0.33333333333333298</v>
      </c>
      <c r="D26" s="54">
        <v>0.5</v>
      </c>
      <c r="E26" s="54">
        <f t="shared" si="16"/>
        <v>0.16666666666666699</v>
      </c>
      <c r="F26" s="54"/>
      <c r="G26" s="53"/>
      <c r="H26" s="11">
        <f t="shared" si="17"/>
        <v>0</v>
      </c>
      <c r="I26" s="17">
        <v>0.66666666666666696</v>
      </c>
      <c r="J26" s="17">
        <v>0.79166666666666696</v>
      </c>
      <c r="K26" s="11">
        <f t="shared" si="18"/>
        <v>0.125</v>
      </c>
      <c r="L26" s="11">
        <f t="shared" si="19"/>
        <v>0.29166666666666702</v>
      </c>
      <c r="T26" s="58"/>
    </row>
    <row r="27" spans="1:22">
      <c r="E27" s="15">
        <f>SUM(E24:E26)</f>
        <v>0.33333333333333298</v>
      </c>
      <c r="H27" s="15">
        <f>SUM(H24:H26)</f>
        <v>0.16666666666666699</v>
      </c>
      <c r="K27" s="15">
        <f>SUM(K24:K26)</f>
        <v>0.125</v>
      </c>
      <c r="L27" s="15">
        <f>SUM(L24:L26)</f>
        <v>0.625</v>
      </c>
      <c r="T27" s="59">
        <f>SUM(T22:T26)</f>
        <v>35768</v>
      </c>
      <c r="V27" s="60"/>
    </row>
    <row r="28" spans="1:22">
      <c r="T28" s="58">
        <f>+T27*6.7755%</f>
        <v>2423.4608400000002</v>
      </c>
      <c r="U28" s="60">
        <v>6.7754999999999996E-2</v>
      </c>
      <c r="V28" s="61"/>
    </row>
    <row r="29" spans="1:22">
      <c r="C29" s="2" t="s">
        <v>172</v>
      </c>
      <c r="G29" s="5" t="s">
        <v>35</v>
      </c>
      <c r="H29" s="6">
        <f>+H21+1</f>
        <v>46247</v>
      </c>
      <c r="T29" s="58">
        <f>+T27*2.904%</f>
        <v>1038.70272</v>
      </c>
      <c r="U29" s="60">
        <v>2.904E-2</v>
      </c>
      <c r="V29" s="62"/>
    </row>
    <row r="30" spans="1:2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  <c r="T30" s="58">
        <v>296.05</v>
      </c>
      <c r="U30" s="60">
        <f>+T30/T27%</f>
        <v>0.82769514649966403</v>
      </c>
      <c r="V30" s="61">
        <f>+T30/T27</f>
        <v>8.2769514649966396E-3</v>
      </c>
    </row>
    <row r="31" spans="1:2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  <c r="T31" s="58"/>
    </row>
    <row r="32" spans="1:22">
      <c r="A32" t="s">
        <v>173</v>
      </c>
      <c r="B32" s="10" t="s">
        <v>174</v>
      </c>
      <c r="C32" s="53">
        <v>0.33333333333333298</v>
      </c>
      <c r="D32" s="54">
        <v>0.5</v>
      </c>
      <c r="E32" s="54">
        <f>IF(D32&gt;C32,D32-C32,C32-D32)</f>
        <v>0.16666666666666699</v>
      </c>
      <c r="F32" s="54">
        <v>0.5</v>
      </c>
      <c r="G32" s="53">
        <v>0.70833333333333304</v>
      </c>
      <c r="H32" s="11">
        <f>IF(G32&gt;F32,G32-F32,F32-G32)</f>
        <v>0.20833333333333301</v>
      </c>
      <c r="I32" s="17"/>
      <c r="J32" s="17"/>
      <c r="K32" s="11">
        <f>IF(J32&gt;I32,J32-I32,I32-J32)</f>
        <v>0</v>
      </c>
      <c r="L32" s="11">
        <f>E32+H32+K32</f>
        <v>0.375</v>
      </c>
      <c r="T32" s="63">
        <f>SUM(T27:T30)</f>
        <v>39526.213559999997</v>
      </c>
    </row>
    <row r="33" spans="1:22">
      <c r="A33" t="s">
        <v>175</v>
      </c>
      <c r="B33" s="10" t="s">
        <v>176</v>
      </c>
      <c r="C33" s="53">
        <v>0.33333333333333298</v>
      </c>
      <c r="D33" s="54">
        <v>0.5</v>
      </c>
      <c r="E33" s="54">
        <f>IF(D33&gt;C33,D33-C33,C33-D33)</f>
        <v>0.16666666666666699</v>
      </c>
      <c r="F33" s="54">
        <v>0.5</v>
      </c>
      <c r="G33" s="53">
        <v>0.66666666666666696</v>
      </c>
      <c r="H33" s="11">
        <f>IF(G33&gt;F33,G33-F33,F33-G33)</f>
        <v>0.16666666666666699</v>
      </c>
      <c r="I33" s="17"/>
      <c r="J33" s="17"/>
      <c r="K33" s="11">
        <f>IF(J33&gt;I33,J33-I33,I33-J33)</f>
        <v>0</v>
      </c>
      <c r="L33" s="11">
        <f>E33+H33+K33</f>
        <v>0.33333333333333298</v>
      </c>
    </row>
    <row r="34" spans="1:22">
      <c r="A34" t="s">
        <v>177</v>
      </c>
      <c r="B34" s="10" t="s">
        <v>178</v>
      </c>
      <c r="C34" s="53">
        <v>0.33333333333333298</v>
      </c>
      <c r="D34" s="54">
        <v>0.5</v>
      </c>
      <c r="E34" s="54">
        <f t="shared" ref="E34" si="20">IF(D34&gt;C34,D34-C34,C34-D34)</f>
        <v>0.16666666666666699</v>
      </c>
      <c r="F34" s="54"/>
      <c r="G34" s="53"/>
      <c r="H34" s="11">
        <f t="shared" ref="H34" si="21">IF(G34&gt;F34,G34-F34,F34-G34)</f>
        <v>0</v>
      </c>
      <c r="I34" s="17">
        <v>0.66666666666666696</v>
      </c>
      <c r="J34" s="17">
        <v>0.79166666666666696</v>
      </c>
      <c r="K34" s="11">
        <f t="shared" ref="K34" si="22">IF(J34&gt;I34,J34-I34,I34-J34)</f>
        <v>0.125</v>
      </c>
      <c r="L34" s="11">
        <f t="shared" ref="L34" si="23">E34+H34+K34</f>
        <v>0.29166666666666702</v>
      </c>
    </row>
    <row r="35" spans="1:22">
      <c r="E35" s="15">
        <f>SUM(E32:E34)</f>
        <v>0.5</v>
      </c>
      <c r="H35" s="15">
        <f>SUM(H32:H34)</f>
        <v>0.375</v>
      </c>
      <c r="K35" s="15">
        <f>SUM(K32:K34)</f>
        <v>0.125</v>
      </c>
      <c r="L35" s="15">
        <f>SUM(L32:L34)</f>
        <v>1</v>
      </c>
      <c r="Q35">
        <f>16845-16730</f>
        <v>115</v>
      </c>
      <c r="R35">
        <v>16730</v>
      </c>
      <c r="S35">
        <v>85</v>
      </c>
      <c r="U35">
        <v>16730</v>
      </c>
    </row>
    <row r="36" spans="1:22">
      <c r="Q36">
        <f>16730+87</f>
        <v>16817</v>
      </c>
      <c r="R36">
        <f>+R35+S35</f>
        <v>16815</v>
      </c>
      <c r="S36">
        <v>75</v>
      </c>
      <c r="U36">
        <v>16845</v>
      </c>
      <c r="V36">
        <f>+U36-U35</f>
        <v>115</v>
      </c>
    </row>
    <row r="37" spans="1:22">
      <c r="C37" s="2" t="s">
        <v>172</v>
      </c>
      <c r="G37" s="5" t="s">
        <v>36</v>
      </c>
      <c r="H37" s="6">
        <f>+H29+1</f>
        <v>46248</v>
      </c>
      <c r="R37">
        <f>+R36+S36</f>
        <v>16890</v>
      </c>
      <c r="U37">
        <f>+U36+V37</f>
        <v>16905</v>
      </c>
      <c r="V37">
        <v>60</v>
      </c>
    </row>
    <row r="38" spans="1:2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2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22">
      <c r="A40" t="s">
        <v>173</v>
      </c>
      <c r="B40" s="10" t="s">
        <v>174</v>
      </c>
      <c r="C40" s="53">
        <v>0.33333333333333298</v>
      </c>
      <c r="D40" s="54">
        <v>0.5</v>
      </c>
      <c r="E40" s="54">
        <f>IF(D40&gt;C40,D40-C40,C40-D40)</f>
        <v>0.16666666666666699</v>
      </c>
      <c r="F40" s="54">
        <v>0.5</v>
      </c>
      <c r="G40" s="53">
        <v>0.70833333333333304</v>
      </c>
      <c r="H40" s="11">
        <f>IF(G40&gt;F40,G40-F40,F40-G40)</f>
        <v>0.20833333333333301</v>
      </c>
      <c r="I40" s="17"/>
      <c r="J40" s="17"/>
      <c r="K40" s="11">
        <f>IF(J40&gt;I40,J40-I40,I40-J40)</f>
        <v>0</v>
      </c>
      <c r="L40" s="11">
        <f>E40+H40+K40</f>
        <v>0.375</v>
      </c>
    </row>
    <row r="41" spans="1:22">
      <c r="A41" t="s">
        <v>175</v>
      </c>
      <c r="B41" s="10" t="s">
        <v>176</v>
      </c>
      <c r="C41" s="53">
        <v>0.33333333333333298</v>
      </c>
      <c r="D41" s="54">
        <v>0.5</v>
      </c>
      <c r="E41" s="54">
        <f>IF(D41&gt;C41,D41-C41,C41-D41)</f>
        <v>0.16666666666666699</v>
      </c>
      <c r="F41" s="54">
        <v>0.5</v>
      </c>
      <c r="G41" s="53">
        <v>0.66666666666666696</v>
      </c>
      <c r="H41" s="11">
        <f>IF(G41&gt;F41,G41-F41,F41-G41)</f>
        <v>0.16666666666666699</v>
      </c>
      <c r="I41" s="17"/>
      <c r="J41" s="17"/>
      <c r="K41" s="11">
        <f>IF(J41&gt;I41,J41-I41,I41-J41)</f>
        <v>0</v>
      </c>
      <c r="L41" s="11">
        <f>E41+H41+K41</f>
        <v>0.33333333333333298</v>
      </c>
    </row>
    <row r="42" spans="1:22">
      <c r="A42" t="s">
        <v>177</v>
      </c>
      <c r="B42" s="10" t="s">
        <v>178</v>
      </c>
      <c r="C42" s="53">
        <v>0.33333333333333298</v>
      </c>
      <c r="D42" s="54">
        <v>0.5</v>
      </c>
      <c r="E42" s="54">
        <f t="shared" ref="E42" si="24">IF(D42&gt;C42,D42-C42,C42-D42)</f>
        <v>0.16666666666666699</v>
      </c>
      <c r="F42" s="54"/>
      <c r="G42" s="53"/>
      <c r="H42" s="11">
        <f t="shared" ref="H42" si="25">IF(G42&gt;F42,G42-F42,F42-G42)</f>
        <v>0</v>
      </c>
      <c r="I42" s="17">
        <v>0.66666666666666696</v>
      </c>
      <c r="J42" s="17">
        <v>0.79166666666666696</v>
      </c>
      <c r="K42" s="11">
        <f t="shared" ref="K42" si="26">IF(J42&gt;I42,J42-I42,I42-J42)</f>
        <v>0.125</v>
      </c>
      <c r="L42" s="11">
        <f t="shared" ref="L42" si="27">E42+H42+K42</f>
        <v>0.29166666666666702</v>
      </c>
    </row>
    <row r="43" spans="1:22">
      <c r="E43" s="15">
        <f>SUM(E40:E42)</f>
        <v>0.5</v>
      </c>
      <c r="H43" s="15">
        <f>SUM(H40:H42)</f>
        <v>0.375</v>
      </c>
      <c r="K43" s="15">
        <f>SUM(K40:K42)</f>
        <v>0.125</v>
      </c>
      <c r="L43" s="15">
        <f>SUM(L40:L42)</f>
        <v>1</v>
      </c>
    </row>
    <row r="45" spans="1:22">
      <c r="C45" s="2" t="s">
        <v>172</v>
      </c>
      <c r="G45" s="5" t="s">
        <v>37</v>
      </c>
      <c r="H45" s="6">
        <f>+H37+1</f>
        <v>46249</v>
      </c>
    </row>
    <row r="46" spans="1:2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2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22">
      <c r="A48" t="s">
        <v>173</v>
      </c>
      <c r="B48" s="10" t="s">
        <v>174</v>
      </c>
      <c r="C48" s="19"/>
      <c r="D48" s="19"/>
      <c r="E48" s="19">
        <f t="shared" ref="E48:E50" si="28">IF(D48&gt;C48,D48-C48,C48-D48)</f>
        <v>0</v>
      </c>
      <c r="F48" s="19"/>
      <c r="G48" s="19"/>
      <c r="H48" s="19">
        <f t="shared" ref="H48:H50" si="29">IF(G48&gt;F48,G48-F48,F48-G48)</f>
        <v>0</v>
      </c>
      <c r="I48" s="22"/>
      <c r="J48" s="22"/>
      <c r="K48" s="19">
        <f t="shared" ref="K48:K50" si="30">IF(J48&gt;I48,J48-I48,I48-J48)</f>
        <v>0</v>
      </c>
      <c r="L48" s="11">
        <f t="shared" ref="L48:L50" si="31">E48+H48+K48</f>
        <v>0</v>
      </c>
      <c r="M48" t="s">
        <v>25</v>
      </c>
    </row>
    <row r="49" spans="1:13">
      <c r="A49" t="s">
        <v>175</v>
      </c>
      <c r="B49" s="10" t="s">
        <v>176</v>
      </c>
      <c r="C49" s="53">
        <v>0.33333333333333298</v>
      </c>
      <c r="D49" s="54">
        <v>0.5</v>
      </c>
      <c r="E49" s="54">
        <f t="shared" si="28"/>
        <v>0.16666666666666699</v>
      </c>
      <c r="F49" s="54"/>
      <c r="G49" s="53"/>
      <c r="H49" s="11">
        <f t="shared" si="29"/>
        <v>0</v>
      </c>
      <c r="I49" s="17"/>
      <c r="J49" s="17"/>
      <c r="K49" s="11">
        <f t="shared" si="30"/>
        <v>0</v>
      </c>
      <c r="L49" s="11">
        <f t="shared" si="31"/>
        <v>0.16666666666666699</v>
      </c>
    </row>
    <row r="50" spans="1:13">
      <c r="A50" t="s">
        <v>177</v>
      </c>
      <c r="B50" s="10" t="s">
        <v>178</v>
      </c>
      <c r="C50" s="19"/>
      <c r="D50" s="19"/>
      <c r="E50" s="19">
        <f t="shared" si="28"/>
        <v>0</v>
      </c>
      <c r="F50" s="19"/>
      <c r="G50" s="19"/>
      <c r="H50" s="19">
        <f t="shared" si="29"/>
        <v>0</v>
      </c>
      <c r="I50" s="22"/>
      <c r="J50" s="22"/>
      <c r="K50" s="19">
        <f t="shared" si="30"/>
        <v>0</v>
      </c>
      <c r="L50" s="11">
        <f t="shared" si="31"/>
        <v>0</v>
      </c>
      <c r="M50" t="s">
        <v>25</v>
      </c>
    </row>
    <row r="51" spans="1:13">
      <c r="E51" s="15">
        <f>SUM(E48:E50)</f>
        <v>0.16666666666666699</v>
      </c>
      <c r="H51" s="15">
        <f>SUM(H48:H50)</f>
        <v>0</v>
      </c>
      <c r="K51" s="15">
        <f>SUM(K48:K50)</f>
        <v>0</v>
      </c>
      <c r="L51" s="15">
        <f>SUM(L48:L50)</f>
        <v>0.16666666666666699</v>
      </c>
    </row>
    <row r="53" spans="1:13">
      <c r="C53" s="2" t="s">
        <v>172</v>
      </c>
      <c r="G53" s="5" t="s">
        <v>38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173</v>
      </c>
      <c r="B56" s="10" t="s">
        <v>174</v>
      </c>
      <c r="C56" s="19"/>
      <c r="D56" s="19"/>
      <c r="E56" s="19">
        <f t="shared" ref="E56" si="32">IF(D56&gt;C56,D56-C56,C56-D56)</f>
        <v>0</v>
      </c>
      <c r="F56" s="19"/>
      <c r="G56" s="19"/>
      <c r="H56" s="19">
        <f t="shared" ref="H56" si="33">IF(G56&gt;F56,G56-F56,F56-G56)</f>
        <v>0</v>
      </c>
      <c r="I56" s="22"/>
      <c r="J56" s="22"/>
      <c r="K56" s="19">
        <f t="shared" ref="K56" si="34">IF(J56&gt;I56,J56-I56,I56-J56)</f>
        <v>0</v>
      </c>
      <c r="L56" s="11">
        <f t="shared" ref="L56" si="35">E56+H56+K56</f>
        <v>0</v>
      </c>
      <c r="M56" t="s">
        <v>25</v>
      </c>
    </row>
    <row r="57" spans="1:13">
      <c r="A57" t="s">
        <v>175</v>
      </c>
      <c r="B57" s="10" t="s">
        <v>176</v>
      </c>
      <c r="C57" s="19"/>
      <c r="D57" s="19"/>
      <c r="E57" s="19">
        <f t="shared" ref="E57:E58" si="36">IF(D57&gt;C57,D57-C57,C57-D57)</f>
        <v>0</v>
      </c>
      <c r="F57" s="19"/>
      <c r="G57" s="19"/>
      <c r="H57" s="19">
        <f t="shared" ref="H57:H58" si="37">IF(G57&gt;F57,G57-F57,F57-G57)</f>
        <v>0</v>
      </c>
      <c r="I57" s="22"/>
      <c r="J57" s="22"/>
      <c r="K57" s="19">
        <f t="shared" ref="K57:K58" si="38">IF(J57&gt;I57,J57-I57,I57-J57)</f>
        <v>0</v>
      </c>
      <c r="L57" s="11">
        <f t="shared" ref="L57:L58" si="39">E57+H57+K57</f>
        <v>0</v>
      </c>
      <c r="M57" t="s">
        <v>25</v>
      </c>
    </row>
    <row r="58" spans="1:13">
      <c r="A58" t="s">
        <v>177</v>
      </c>
      <c r="B58" s="10" t="s">
        <v>178</v>
      </c>
      <c r="C58" s="19"/>
      <c r="D58" s="19"/>
      <c r="E58" s="19">
        <f t="shared" si="36"/>
        <v>0</v>
      </c>
      <c r="F58" s="19"/>
      <c r="G58" s="19"/>
      <c r="H58" s="19">
        <f t="shared" si="37"/>
        <v>0</v>
      </c>
      <c r="I58" s="22"/>
      <c r="J58" s="22"/>
      <c r="K58" s="19">
        <f t="shared" si="38"/>
        <v>0</v>
      </c>
      <c r="L58" s="11">
        <f t="shared" si="39"/>
        <v>0</v>
      </c>
      <c r="M58" t="s">
        <v>25</v>
      </c>
    </row>
    <row r="59" spans="1:13">
      <c r="E59" s="15">
        <f>SUM(E56:E58)</f>
        <v>0</v>
      </c>
      <c r="H59" s="15">
        <f>SUM(H56:H58)</f>
        <v>0</v>
      </c>
      <c r="K59" s="15">
        <f>SUM(K56:K58)</f>
        <v>0</v>
      </c>
      <c r="L59" s="15">
        <f>SUM(L56:L58)</f>
        <v>0</v>
      </c>
    </row>
    <row r="62" spans="1:13">
      <c r="B62" s="10" t="s">
        <v>174</v>
      </c>
      <c r="C62" s="21">
        <f>+L8+L16+L24+L32+L40+L48+L56</f>
        <v>0.75</v>
      </c>
    </row>
    <row r="63" spans="1:13">
      <c r="B63" s="10" t="s">
        <v>176</v>
      </c>
      <c r="C63" s="21">
        <f t="shared" ref="C63:C64" si="40">+L9+L17+L25+L33+L41+L49+L57</f>
        <v>1.1666666666666701</v>
      </c>
    </row>
    <row r="64" spans="1:13">
      <c r="B64" s="10" t="s">
        <v>178</v>
      </c>
      <c r="C64" s="21">
        <f t="shared" si="40"/>
        <v>1.4583333333333299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Y126"/>
  <sheetViews>
    <sheetView topLeftCell="A91" zoomScale="98" zoomScaleNormal="98" workbookViewId="0">
      <selection activeCell="P104" sqref="P104"/>
    </sheetView>
  </sheetViews>
  <sheetFormatPr defaultColWidth="11" defaultRowHeight="15"/>
  <cols>
    <col min="2" max="2" width="13.28515625" customWidth="1"/>
  </cols>
  <sheetData>
    <row r="2" spans="1:16">
      <c r="E2" s="171" t="s">
        <v>179</v>
      </c>
      <c r="F2" s="171"/>
      <c r="G2" s="171"/>
      <c r="H2" s="171"/>
      <c r="I2" s="171"/>
    </row>
    <row r="3" spans="1:16">
      <c r="E3" s="171"/>
      <c r="F3" s="171"/>
      <c r="G3" s="171"/>
      <c r="H3" s="171"/>
      <c r="I3" s="171"/>
    </row>
    <row r="5" spans="1:16">
      <c r="C5" s="2" t="s">
        <v>180</v>
      </c>
      <c r="G5" s="5" t="s">
        <v>39</v>
      </c>
      <c r="H5" s="6">
        <f>+'COMMUNICATION-MAJ'!H5</f>
        <v>46244</v>
      </c>
    </row>
    <row r="6" spans="1:16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6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  <c r="P7" s="10"/>
    </row>
    <row r="8" spans="1:16">
      <c r="A8" t="s">
        <v>181</v>
      </c>
      <c r="B8" s="10" t="s">
        <v>182</v>
      </c>
      <c r="C8" s="53">
        <v>0.29166666666666702</v>
      </c>
      <c r="D8" s="54">
        <v>0.45833333333333298</v>
      </c>
      <c r="E8" s="54">
        <f>IF(D8&gt;C8,D8-C8,C8-D8)</f>
        <v>0.16666666666666596</v>
      </c>
      <c r="F8" s="54">
        <v>0.625</v>
      </c>
      <c r="G8" s="25">
        <v>0.79166666666666696</v>
      </c>
      <c r="H8" s="54">
        <f>IF(G8&gt;F8,G8-F8,F8-G8)</f>
        <v>0.16666666666666696</v>
      </c>
      <c r="I8" s="56"/>
      <c r="J8" s="56"/>
      <c r="K8" s="54">
        <f>IF(J8&gt;I8,J8-I8,I8-J8)</f>
        <v>0</v>
      </c>
      <c r="L8" s="11">
        <f>E8+H8+K8</f>
        <v>0.33333333333333293</v>
      </c>
      <c r="P8" s="10"/>
    </row>
    <row r="9" spans="1:16">
      <c r="A9" t="s">
        <v>183</v>
      </c>
      <c r="B9" s="10" t="s">
        <v>184</v>
      </c>
      <c r="C9" s="55"/>
      <c r="D9" s="55"/>
      <c r="E9" s="55">
        <f>IF(D9&gt;C9,D9-C9,C9-D9)</f>
        <v>0</v>
      </c>
      <c r="F9" s="55"/>
      <c r="G9" s="55"/>
      <c r="H9" s="55">
        <f>IF(G9&gt;F9,G9-F9,F9-G9)</f>
        <v>0</v>
      </c>
      <c r="I9" s="57"/>
      <c r="J9" s="57"/>
      <c r="K9" s="55">
        <f>IF(J9&gt;I9,J9-I9,I9-J9)</f>
        <v>0</v>
      </c>
      <c r="L9" s="11">
        <f>E9+H9+K9</f>
        <v>0</v>
      </c>
      <c r="M9" t="s">
        <v>25</v>
      </c>
    </row>
    <row r="10" spans="1:16">
      <c r="A10" t="s">
        <v>185</v>
      </c>
      <c r="B10" s="10" t="s">
        <v>186</v>
      </c>
      <c r="C10" s="55"/>
      <c r="D10" s="55"/>
      <c r="E10" s="55">
        <f t="shared" ref="E10" si="0">IF(D10&gt;C10,D10-C10,C10-D10)</f>
        <v>0</v>
      </c>
      <c r="F10" s="55"/>
      <c r="G10" s="55"/>
      <c r="H10" s="55">
        <f>IF(G10&gt;F10,G10-F10,F10-G10)</f>
        <v>0</v>
      </c>
      <c r="I10" s="57"/>
      <c r="J10" s="57"/>
      <c r="K10" s="55">
        <f t="shared" ref="K10" si="1">IF(J10&gt;I10,J10-I10,I10-J10)</f>
        <v>0</v>
      </c>
      <c r="L10" s="11">
        <f t="shared" ref="L10:L13" si="2">E10+H10+K10</f>
        <v>0</v>
      </c>
      <c r="M10" t="s">
        <v>25</v>
      </c>
    </row>
    <row r="11" spans="1:16">
      <c r="A11" t="s">
        <v>187</v>
      </c>
      <c r="B11" s="10" t="s">
        <v>188</v>
      </c>
      <c r="C11" s="11"/>
      <c r="D11" s="11"/>
      <c r="E11" s="11">
        <f t="shared" ref="E11:E13" si="3">IF(D11&gt;C11,D11-C11,C11-D11)</f>
        <v>0</v>
      </c>
      <c r="F11" s="25">
        <v>0.70833333333333304</v>
      </c>
      <c r="G11" s="11">
        <v>0.75</v>
      </c>
      <c r="H11" s="11">
        <f t="shared" ref="H11:H13" si="4">IF(G11&gt;F11,G11-F11,F11-G11)</f>
        <v>4.1666666666666963E-2</v>
      </c>
      <c r="I11" s="17">
        <v>0.75</v>
      </c>
      <c r="J11" s="29">
        <v>1</v>
      </c>
      <c r="K11" s="11">
        <f t="shared" ref="K11:K13" si="5">IF(J11&gt;I11,J11-I11,I11-J11)</f>
        <v>0.25</v>
      </c>
      <c r="L11" s="11">
        <f t="shared" si="2"/>
        <v>0.29166666666666696</v>
      </c>
    </row>
    <row r="12" spans="1:16">
      <c r="A12" t="s">
        <v>189</v>
      </c>
      <c r="B12" s="10" t="s">
        <v>190</v>
      </c>
      <c r="C12" s="55"/>
      <c r="D12" s="55"/>
      <c r="E12" s="55">
        <f t="shared" si="3"/>
        <v>0</v>
      </c>
      <c r="F12" s="55"/>
      <c r="G12" s="55"/>
      <c r="H12" s="55">
        <f t="shared" si="4"/>
        <v>0</v>
      </c>
      <c r="I12" s="57"/>
      <c r="J12" s="57"/>
      <c r="K12" s="55">
        <f t="shared" si="5"/>
        <v>0</v>
      </c>
      <c r="L12" s="11">
        <f t="shared" si="2"/>
        <v>0</v>
      </c>
      <c r="M12" t="s">
        <v>25</v>
      </c>
    </row>
    <row r="13" spans="1:16">
      <c r="A13" t="s">
        <v>191</v>
      </c>
      <c r="B13" s="10" t="s">
        <v>192</v>
      </c>
      <c r="C13" s="11">
        <v>0.20833333333333301</v>
      </c>
      <c r="D13" s="11">
        <v>0.33333333333333298</v>
      </c>
      <c r="E13" s="11">
        <f t="shared" si="3"/>
        <v>0.12499999999999997</v>
      </c>
      <c r="F13" s="25"/>
      <c r="G13" s="11"/>
      <c r="H13" s="11">
        <f t="shared" si="4"/>
        <v>0</v>
      </c>
      <c r="I13" s="17"/>
      <c r="J13" s="29"/>
      <c r="K13" s="11">
        <f t="shared" si="5"/>
        <v>0</v>
      </c>
      <c r="L13" s="11">
        <f t="shared" si="2"/>
        <v>0.12499999999999997</v>
      </c>
    </row>
    <row r="14" spans="1:16">
      <c r="A14" t="s">
        <v>193</v>
      </c>
      <c r="B14" s="13" t="s">
        <v>194</v>
      </c>
      <c r="C14" s="53">
        <v>0.33333333333333298</v>
      </c>
      <c r="D14" s="54">
        <v>0.5</v>
      </c>
      <c r="E14" s="54">
        <f t="shared" ref="E14:E16" si="6">IF(D14&gt;C14,D14-C14,C14-D14)</f>
        <v>0.16666666666666702</v>
      </c>
      <c r="F14" s="54">
        <v>0.54166666666666696</v>
      </c>
      <c r="G14" s="25">
        <v>0.66666666666666696</v>
      </c>
      <c r="H14" s="54">
        <f t="shared" ref="H14:H16" si="7">IF(G14&gt;F14,G14-F14,F14-G14)</f>
        <v>0.125</v>
      </c>
      <c r="I14" s="56"/>
      <c r="J14" s="56"/>
      <c r="K14" s="54">
        <f t="shared" ref="K14:K16" si="8">IF(J14&gt;I14,J14-I14,I14-J14)</f>
        <v>0</v>
      </c>
      <c r="L14" s="11">
        <f t="shared" ref="L14:L16" si="9">E14+H14+K14</f>
        <v>0.29166666666666702</v>
      </c>
    </row>
    <row r="15" spans="1:16">
      <c r="A15" t="s">
        <v>195</v>
      </c>
      <c r="B15" s="13" t="s">
        <v>196</v>
      </c>
      <c r="C15" s="11"/>
      <c r="D15" s="11"/>
      <c r="E15" s="11">
        <f t="shared" si="6"/>
        <v>0</v>
      </c>
      <c r="F15" s="25">
        <v>0.70833333333333304</v>
      </c>
      <c r="G15" s="11">
        <v>0.75</v>
      </c>
      <c r="H15" s="11">
        <f t="shared" si="7"/>
        <v>4.1666666666666963E-2</v>
      </c>
      <c r="I15" s="17">
        <v>0.75</v>
      </c>
      <c r="J15" s="29">
        <v>1</v>
      </c>
      <c r="K15" s="11">
        <f t="shared" si="8"/>
        <v>0.25</v>
      </c>
      <c r="L15" s="11">
        <f t="shared" si="9"/>
        <v>0.29166666666666696</v>
      </c>
    </row>
    <row r="16" spans="1:16">
      <c r="B16" s="13" t="s">
        <v>197</v>
      </c>
      <c r="C16" s="53">
        <v>0.33333333333333298</v>
      </c>
      <c r="D16" s="54">
        <v>0.5</v>
      </c>
      <c r="E16" s="54">
        <f t="shared" si="6"/>
        <v>0.16666666666666702</v>
      </c>
      <c r="F16" s="54">
        <v>0.54166666666666696</v>
      </c>
      <c r="G16" s="25">
        <v>0.70833333333333304</v>
      </c>
      <c r="H16" s="54">
        <f t="shared" si="7"/>
        <v>0.16666666666666607</v>
      </c>
      <c r="I16" s="56"/>
      <c r="J16" s="56"/>
      <c r="K16" s="54">
        <f t="shared" si="8"/>
        <v>0</v>
      </c>
      <c r="L16" s="11">
        <f t="shared" si="9"/>
        <v>0.33333333333333309</v>
      </c>
    </row>
    <row r="17" spans="1:25">
      <c r="B17" s="13" t="s">
        <v>117</v>
      </c>
      <c r="C17" s="11"/>
      <c r="D17" s="11"/>
      <c r="E17" s="11">
        <f>IF(D17&gt;C17,D17-C17,C17-D17)</f>
        <v>0</v>
      </c>
      <c r="F17" s="25">
        <v>0.70833333333333304</v>
      </c>
      <c r="G17" s="11">
        <v>0.75</v>
      </c>
      <c r="H17" s="11">
        <f>IF(G17&gt;F17,G17-F17,F17-G17)</f>
        <v>4.1666666666666963E-2</v>
      </c>
      <c r="I17" s="17">
        <v>0.75</v>
      </c>
      <c r="J17" s="29">
        <v>1</v>
      </c>
      <c r="K17" s="11">
        <f>IF(J17&gt;I17,J17-I17,I17-J17)</f>
        <v>0.25</v>
      </c>
      <c r="L17" s="11">
        <f>E17+H17+K17</f>
        <v>0.29166666666666696</v>
      </c>
    </row>
    <row r="18" spans="1:25">
      <c r="B18" s="13" t="s">
        <v>198</v>
      </c>
      <c r="C18" s="11">
        <v>0.20833333333333301</v>
      </c>
      <c r="D18" s="11">
        <v>0.33333333333333298</v>
      </c>
      <c r="E18" s="11">
        <f>IF(D18&gt;C18,D18-C18,C18-D18)</f>
        <v>0.12499999999999997</v>
      </c>
      <c r="F18" s="25"/>
      <c r="G18" s="11"/>
      <c r="H18" s="11">
        <f>IF(G18&gt;F18,G18-F18,F18-G18)</f>
        <v>0</v>
      </c>
      <c r="I18" s="17"/>
      <c r="J18" s="29"/>
      <c r="K18" s="11">
        <f>IF(J18&gt;I18,J18-I18,I18-J18)</f>
        <v>0</v>
      </c>
      <c r="L18" s="11">
        <f>E18+H18+K18</f>
        <v>0.12499999999999997</v>
      </c>
    </row>
    <row r="19" spans="1:25">
      <c r="E19" s="15">
        <f>SUM(E8:E18)</f>
        <v>0.75</v>
      </c>
      <c r="H19" s="15">
        <f>SUM(H8:H18)</f>
        <v>0.58333333333333393</v>
      </c>
      <c r="K19" s="15">
        <f>SUM(K8:K18)</f>
        <v>0.75</v>
      </c>
      <c r="L19" s="15">
        <f>SUM(L8:L18)</f>
        <v>2.0833333333333339</v>
      </c>
    </row>
    <row r="21" spans="1:25">
      <c r="C21" s="2" t="s">
        <v>180</v>
      </c>
      <c r="G21" s="5" t="s">
        <v>32</v>
      </c>
      <c r="H21" s="6">
        <f>+H5+1</f>
        <v>46245</v>
      </c>
    </row>
    <row r="22" spans="1:25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25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25">
      <c r="A24" t="s">
        <v>181</v>
      </c>
      <c r="B24" s="10" t="s">
        <v>182</v>
      </c>
      <c r="C24" s="53">
        <v>0.29166666666666702</v>
      </c>
      <c r="D24" s="54">
        <v>0.45833333333333298</v>
      </c>
      <c r="E24" s="54">
        <f t="shared" ref="E24:E25" si="10">IF(D24&gt;C24,D24-C24,C24-D24)</f>
        <v>0.16666666666666596</v>
      </c>
      <c r="F24" s="54">
        <v>0.625</v>
      </c>
      <c r="G24" s="25">
        <v>0.79166666666666696</v>
      </c>
      <c r="H24" s="54">
        <f t="shared" ref="H24:H26" si="11">IF(G24&gt;F24,G24-F24,F24-G24)</f>
        <v>0.16666666666666696</v>
      </c>
      <c r="I24" s="56"/>
      <c r="J24" s="56"/>
      <c r="K24" s="54">
        <f>IF(J24&gt;I24,J24-I24,I24-J24)</f>
        <v>0</v>
      </c>
      <c r="L24" s="11">
        <f>E24+H24+K24</f>
        <v>0.33333333333333293</v>
      </c>
    </row>
    <row r="25" spans="1:25">
      <c r="A25" t="s">
        <v>183</v>
      </c>
      <c r="B25" s="10" t="s">
        <v>184</v>
      </c>
      <c r="C25" s="55"/>
      <c r="D25" s="55"/>
      <c r="E25" s="55">
        <f t="shared" si="10"/>
        <v>0</v>
      </c>
      <c r="F25" s="55"/>
      <c r="G25" s="55"/>
      <c r="H25" s="55">
        <f t="shared" si="11"/>
        <v>0</v>
      </c>
      <c r="I25" s="57"/>
      <c r="J25" s="57"/>
      <c r="K25" s="55">
        <f>IF(J25&gt;I25,J25-I25,I25-J25)</f>
        <v>0</v>
      </c>
      <c r="L25" s="11">
        <f>E25+H25+K25</f>
        <v>0</v>
      </c>
      <c r="M25" t="s">
        <v>25</v>
      </c>
    </row>
    <row r="26" spans="1:25">
      <c r="A26" t="s">
        <v>185</v>
      </c>
      <c r="B26" s="10" t="s">
        <v>186</v>
      </c>
      <c r="C26" s="25">
        <v>0.33333333333333298</v>
      </c>
      <c r="D26" s="54">
        <v>0.5</v>
      </c>
      <c r="E26" s="54">
        <f t="shared" ref="E26:E32" si="12">IF(D26&gt;C26,D26-C26,C26-D26)</f>
        <v>0.16666666666666702</v>
      </c>
      <c r="F26" s="54">
        <v>0.54166666666666696</v>
      </c>
      <c r="G26" s="25">
        <v>0.70833333333333304</v>
      </c>
      <c r="H26" s="54">
        <f t="shared" si="11"/>
        <v>0.16666666666666607</v>
      </c>
      <c r="I26" s="56"/>
      <c r="J26" s="56"/>
      <c r="K26" s="54">
        <f t="shared" ref="K26" si="13">IF(J26&gt;I26,J26-I26,I26-J26)</f>
        <v>0</v>
      </c>
      <c r="L26" s="11">
        <f t="shared" ref="L26" si="14">E26+H26+K26</f>
        <v>0.33333333333333309</v>
      </c>
    </row>
    <row r="27" spans="1:25">
      <c r="A27" t="s">
        <v>187</v>
      </c>
      <c r="B27" s="10" t="s">
        <v>188</v>
      </c>
      <c r="C27" s="11">
        <v>0.20833333333333301</v>
      </c>
      <c r="D27" s="11">
        <v>0.33333333333333298</v>
      </c>
      <c r="E27" s="11">
        <f t="shared" si="12"/>
        <v>0.12499999999999997</v>
      </c>
      <c r="F27" s="25"/>
      <c r="G27" s="11"/>
      <c r="H27" s="11">
        <f t="shared" ref="H27:H29" si="15">IF(G27&gt;F27,G27-F27,F27-G27)</f>
        <v>0</v>
      </c>
      <c r="I27" s="17"/>
      <c r="J27" s="29"/>
      <c r="K27" s="11">
        <f t="shared" ref="K27:K29" si="16">IF(J27&gt;I27,J27-I27,I27-J27)</f>
        <v>0</v>
      </c>
      <c r="L27" s="11">
        <f t="shared" ref="L27:L29" si="17">E27+H27+K27</f>
        <v>0.12499999999999997</v>
      </c>
    </row>
    <row r="28" spans="1:25">
      <c r="A28" t="s">
        <v>189</v>
      </c>
      <c r="B28" s="10" t="s">
        <v>190</v>
      </c>
      <c r="C28" s="11"/>
      <c r="D28" s="11"/>
      <c r="E28" s="11">
        <f t="shared" si="12"/>
        <v>0</v>
      </c>
      <c r="F28" s="25">
        <v>0.70833333333333304</v>
      </c>
      <c r="G28" s="11">
        <v>0.75</v>
      </c>
      <c r="H28" s="11">
        <f t="shared" si="15"/>
        <v>4.1666666666666963E-2</v>
      </c>
      <c r="I28" s="17">
        <v>0.75</v>
      </c>
      <c r="J28" s="29">
        <v>1</v>
      </c>
      <c r="K28" s="11">
        <f t="shared" si="16"/>
        <v>0.25</v>
      </c>
      <c r="L28" s="11">
        <f t="shared" si="17"/>
        <v>0.29166666666666696</v>
      </c>
    </row>
    <row r="29" spans="1:25">
      <c r="A29" t="s">
        <v>191</v>
      </c>
      <c r="B29" s="10" t="s">
        <v>192</v>
      </c>
      <c r="C29" s="11"/>
      <c r="D29" s="11"/>
      <c r="E29" s="11">
        <f t="shared" si="12"/>
        <v>0</v>
      </c>
      <c r="F29" s="25">
        <v>0.70833333333333304</v>
      </c>
      <c r="G29" s="11">
        <v>0.75</v>
      </c>
      <c r="H29" s="11">
        <f t="shared" si="15"/>
        <v>4.1666666666666963E-2</v>
      </c>
      <c r="I29" s="17">
        <v>0.75</v>
      </c>
      <c r="J29" s="29">
        <v>1</v>
      </c>
      <c r="K29" s="11">
        <f t="shared" si="16"/>
        <v>0.25</v>
      </c>
      <c r="L29" s="11">
        <f t="shared" si="17"/>
        <v>0.29166666666666696</v>
      </c>
    </row>
    <row r="30" spans="1:25">
      <c r="A30" t="s">
        <v>193</v>
      </c>
      <c r="B30" s="13" t="s">
        <v>194</v>
      </c>
      <c r="C30" s="55"/>
      <c r="D30" s="55"/>
      <c r="E30" s="55">
        <f t="shared" si="12"/>
        <v>0</v>
      </c>
      <c r="F30" s="55"/>
      <c r="G30" s="55"/>
      <c r="H30" s="55">
        <f t="shared" ref="H30:H33" si="18">IF(G30&gt;F30,G30-F30,F30-G30)</f>
        <v>0</v>
      </c>
      <c r="I30" s="57"/>
      <c r="J30" s="57"/>
      <c r="K30" s="55">
        <f t="shared" ref="K30:K33" si="19">IF(J30&gt;I30,J30-I30,I30-J30)</f>
        <v>0</v>
      </c>
      <c r="L30" s="11">
        <f t="shared" ref="L30:L33" si="20">E30+H30+K30</f>
        <v>0</v>
      </c>
      <c r="M30" t="s">
        <v>25</v>
      </c>
    </row>
    <row r="31" spans="1:25" ht="16.5" thickTop="1" thickBot="1">
      <c r="A31" t="s">
        <v>195</v>
      </c>
      <c r="B31" s="13" t="s">
        <v>196</v>
      </c>
      <c r="C31" s="11">
        <v>0.20833333333333301</v>
      </c>
      <c r="D31" s="11">
        <v>0.33333333333333298</v>
      </c>
      <c r="E31" s="11">
        <f t="shared" si="12"/>
        <v>0.12499999999999997</v>
      </c>
      <c r="F31" s="25"/>
      <c r="G31" s="11"/>
      <c r="H31" s="11">
        <f t="shared" si="18"/>
        <v>0</v>
      </c>
      <c r="I31" s="17"/>
      <c r="J31" s="29"/>
      <c r="K31" s="11">
        <f t="shared" si="19"/>
        <v>0</v>
      </c>
      <c r="L31" s="11">
        <f t="shared" si="20"/>
        <v>0.12499999999999997</v>
      </c>
    </row>
    <row r="32" spans="1:25" ht="16.5" thickTop="1" thickBot="1">
      <c r="B32" s="13" t="s">
        <v>197</v>
      </c>
      <c r="C32" s="53">
        <v>0.33333333333333298</v>
      </c>
      <c r="D32" s="54">
        <v>0.5</v>
      </c>
      <c r="E32" s="54">
        <f t="shared" si="12"/>
        <v>0.16666666666666702</v>
      </c>
      <c r="F32" s="54">
        <v>0.54166666666666696</v>
      </c>
      <c r="G32" s="25">
        <v>0.70833333333333304</v>
      </c>
      <c r="H32" s="54">
        <f t="shared" si="18"/>
        <v>0.16666666666666607</v>
      </c>
      <c r="I32" s="56"/>
      <c r="J32" s="56"/>
      <c r="K32" s="54">
        <f t="shared" si="19"/>
        <v>0</v>
      </c>
      <c r="L32" s="11">
        <f t="shared" si="20"/>
        <v>0.33333333333333309</v>
      </c>
      <c r="V32" s="17">
        <v>0.75</v>
      </c>
      <c r="W32" s="29">
        <v>1</v>
      </c>
      <c r="X32" s="11">
        <f>IF(W32&gt;V32,W32-V32,V32-W32)</f>
        <v>0.25</v>
      </c>
      <c r="Y32" s="11">
        <f>E34+H34+X32</f>
        <v>0.375</v>
      </c>
    </row>
    <row r="33" spans="1:13" ht="16.5" thickTop="1" thickBot="1">
      <c r="B33" s="13" t="s">
        <v>198</v>
      </c>
      <c r="C33" s="25">
        <v>0.33333333333333298</v>
      </c>
      <c r="D33" s="54">
        <v>0.5</v>
      </c>
      <c r="E33" s="54">
        <f t="shared" ref="E33" si="21">IF(D33&gt;C33,D33-C33,C33-D33)</f>
        <v>0.16666666666666702</v>
      </c>
      <c r="F33" s="54">
        <v>0.54166666666666696</v>
      </c>
      <c r="G33" s="25">
        <v>0.70833333333333304</v>
      </c>
      <c r="H33" s="54">
        <f t="shared" si="18"/>
        <v>0.16666666666666607</v>
      </c>
      <c r="I33" s="56"/>
      <c r="J33" s="56"/>
      <c r="K33" s="54">
        <f t="shared" si="19"/>
        <v>0</v>
      </c>
      <c r="L33" s="11">
        <f t="shared" si="20"/>
        <v>0.33333333333333309</v>
      </c>
    </row>
    <row r="34" spans="1:13" ht="16.5" thickTop="1" thickBot="1">
      <c r="B34" s="13" t="s">
        <v>117</v>
      </c>
      <c r="C34" s="11">
        <v>0.20833333333333301</v>
      </c>
      <c r="D34" s="11">
        <v>0.33333333333333298</v>
      </c>
      <c r="E34" s="11">
        <f>IF(D34&gt;C34,D34-C34,C34-D34)</f>
        <v>0.12499999999999997</v>
      </c>
      <c r="F34" s="25"/>
      <c r="G34" s="11"/>
      <c r="H34" s="11">
        <f>IF(G34&gt;F34,G34-F34,F34-G34)</f>
        <v>0</v>
      </c>
      <c r="I34" s="17"/>
      <c r="J34" s="29"/>
      <c r="K34" s="11">
        <f>IF(J34&gt;I34,J34-I34,I34-J34)</f>
        <v>0</v>
      </c>
      <c r="L34" s="11">
        <f>E34+H34+K34</f>
        <v>0.12499999999999997</v>
      </c>
    </row>
    <row r="35" spans="1:13" ht="16.5" thickTop="1" thickBot="1">
      <c r="E35" s="15">
        <f>SUM(E24:E34)</f>
        <v>1.041666666666667</v>
      </c>
      <c r="H35" s="15">
        <f>SUM(H24:H34)</f>
        <v>0.74999999999999911</v>
      </c>
      <c r="K35" s="15">
        <f>SUM(K24:K34)</f>
        <v>0.5</v>
      </c>
      <c r="L35" s="15">
        <f>SUM(L24:L34)</f>
        <v>2.2916666666666661</v>
      </c>
    </row>
    <row r="37" spans="1:13">
      <c r="C37" s="2" t="s">
        <v>180</v>
      </c>
      <c r="G37" s="5" t="s">
        <v>34</v>
      </c>
      <c r="H37" s="6">
        <f>+H21+1</f>
        <v>46246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>
      <c r="A40" t="s">
        <v>181</v>
      </c>
      <c r="B40" s="10" t="s">
        <v>182</v>
      </c>
      <c r="C40" s="53">
        <v>0.29166666666666702</v>
      </c>
      <c r="D40" s="54">
        <v>0.45833333333333298</v>
      </c>
      <c r="E40" s="54">
        <f>IF(D40&gt;C40,D40-C40,C40-D40)</f>
        <v>0.16666666666666596</v>
      </c>
      <c r="F40" s="54">
        <v>0.625</v>
      </c>
      <c r="G40" s="25">
        <v>0.79166666666666696</v>
      </c>
      <c r="H40" s="54">
        <f>IF(G40&gt;F40,G40-F40,F40-G40)</f>
        <v>0.16666666666666696</v>
      </c>
      <c r="I40" s="56"/>
      <c r="J40" s="56"/>
      <c r="K40" s="54">
        <f>IF(J40&gt;I40,J40-I40,I40-J40)</f>
        <v>0</v>
      </c>
      <c r="L40" s="11">
        <f>E40+H40+K40</f>
        <v>0.33333333333333293</v>
      </c>
    </row>
    <row r="41" spans="1:13">
      <c r="A41" t="s">
        <v>183</v>
      </c>
      <c r="B41" s="10" t="s">
        <v>184</v>
      </c>
      <c r="C41" s="55"/>
      <c r="D41" s="55"/>
      <c r="E41" s="55">
        <f t="shared" ref="E41:E44" si="22">IF(D41&gt;C41,D41-C41,C41-D41)</f>
        <v>0</v>
      </c>
      <c r="F41" s="55"/>
      <c r="G41" s="55"/>
      <c r="H41" s="55">
        <f>IF(G41&gt;F41,G41-F41,F41-G41)</f>
        <v>0</v>
      </c>
      <c r="I41" s="57"/>
      <c r="J41" s="57"/>
      <c r="K41" s="55">
        <f>IF(J41&gt;I41,J41-I41,I41-J41)</f>
        <v>0</v>
      </c>
      <c r="L41" s="11">
        <f t="shared" ref="L41:L44" si="23">E41+H41+K41</f>
        <v>0</v>
      </c>
      <c r="M41" t="s">
        <v>25</v>
      </c>
    </row>
    <row r="42" spans="1:13">
      <c r="A42" t="s">
        <v>185</v>
      </c>
      <c r="B42" s="10" t="s">
        <v>186</v>
      </c>
      <c r="C42" s="25">
        <v>0.33333333333333298</v>
      </c>
      <c r="D42" s="54">
        <v>0.5</v>
      </c>
      <c r="E42" s="54">
        <f t="shared" si="22"/>
        <v>0.16666666666666702</v>
      </c>
      <c r="F42" s="54">
        <v>0.54166666666666696</v>
      </c>
      <c r="G42" s="25">
        <v>0.70833333333333304</v>
      </c>
      <c r="H42" s="54">
        <f>IF(G42&gt;F42,G42-F42,F42-G42)</f>
        <v>0.16666666666666607</v>
      </c>
      <c r="I42" s="56"/>
      <c r="J42" s="56"/>
      <c r="K42" s="54">
        <f>IF(J42&gt;I42,J42-I42,I42-J42)</f>
        <v>0</v>
      </c>
      <c r="L42" s="11">
        <f t="shared" si="23"/>
        <v>0.33333333333333309</v>
      </c>
    </row>
    <row r="43" spans="1:13">
      <c r="A43" t="s">
        <v>187</v>
      </c>
      <c r="B43" s="10" t="s">
        <v>188</v>
      </c>
      <c r="C43" s="11"/>
      <c r="D43" s="11"/>
      <c r="E43" s="11">
        <f t="shared" si="22"/>
        <v>0</v>
      </c>
      <c r="F43" s="25">
        <v>0.70833333333333304</v>
      </c>
      <c r="G43" s="11">
        <v>0.75</v>
      </c>
      <c r="H43" s="11">
        <f t="shared" ref="H43:H44" si="24">IF(G43&gt;F43,G43-F43,F43-G43)</f>
        <v>4.1666666666666963E-2</v>
      </c>
      <c r="I43" s="17">
        <v>0.75</v>
      </c>
      <c r="J43" s="29">
        <v>1</v>
      </c>
      <c r="K43" s="11">
        <f t="shared" ref="K43:K44" si="25">IF(J43&gt;I43,J43-I43,I43-J43)</f>
        <v>0.25</v>
      </c>
      <c r="L43" s="11">
        <f t="shared" si="23"/>
        <v>0.29166666666666696</v>
      </c>
    </row>
    <row r="44" spans="1:13">
      <c r="A44" t="s">
        <v>189</v>
      </c>
      <c r="B44" s="10" t="s">
        <v>190</v>
      </c>
      <c r="C44" s="11"/>
      <c r="D44" s="11"/>
      <c r="E44" s="11">
        <f t="shared" si="22"/>
        <v>0</v>
      </c>
      <c r="F44" s="25">
        <v>0.70833333333333304</v>
      </c>
      <c r="G44" s="11">
        <v>0.75</v>
      </c>
      <c r="H44" s="11">
        <f t="shared" si="24"/>
        <v>4.1666666666666963E-2</v>
      </c>
      <c r="I44" s="17">
        <v>0.75</v>
      </c>
      <c r="J44" s="29">
        <v>1</v>
      </c>
      <c r="K44" s="11">
        <f t="shared" si="25"/>
        <v>0.25</v>
      </c>
      <c r="L44" s="11">
        <f t="shared" si="23"/>
        <v>0.29166666666666696</v>
      </c>
    </row>
    <row r="45" spans="1:13">
      <c r="A45" t="s">
        <v>191</v>
      </c>
      <c r="B45" s="10" t="s">
        <v>192</v>
      </c>
      <c r="C45" s="11">
        <v>0.20833333333333301</v>
      </c>
      <c r="D45" s="11">
        <v>0.33333333333333298</v>
      </c>
      <c r="E45" s="11">
        <f>IF(D45&gt;C45,D45-C45,C45-D45)</f>
        <v>0.12499999999999997</v>
      </c>
      <c r="F45" s="25"/>
      <c r="G45" s="11"/>
      <c r="H45" s="11">
        <f>IF(G45&gt;F45,G45-F45,F45-G45)</f>
        <v>0</v>
      </c>
      <c r="I45" s="17"/>
      <c r="J45" s="29"/>
      <c r="K45" s="11">
        <f>IF(J45&gt;I45,J45-I45,I45-J45)</f>
        <v>0</v>
      </c>
      <c r="L45" s="11">
        <f>E45+H45+K45</f>
        <v>0.12499999999999997</v>
      </c>
    </row>
    <row r="46" spans="1:13">
      <c r="A46" t="s">
        <v>193</v>
      </c>
      <c r="B46" s="13" t="s">
        <v>194</v>
      </c>
      <c r="C46" s="53">
        <v>0.33333333333333298</v>
      </c>
      <c r="D46" s="54">
        <v>0.5</v>
      </c>
      <c r="E46" s="54">
        <f t="shared" ref="E46" si="26">IF(D46&gt;C46,D46-C46,C46-D46)</f>
        <v>0.16666666666666702</v>
      </c>
      <c r="F46" s="54">
        <v>0.5</v>
      </c>
      <c r="G46" s="25">
        <v>0.66666666666666696</v>
      </c>
      <c r="H46" s="54">
        <f t="shared" ref="H46" si="27">IF(G46&gt;F46,G46-F46,F46-G46)</f>
        <v>0.16666666666666696</v>
      </c>
      <c r="I46" s="56"/>
      <c r="J46" s="56"/>
      <c r="K46" s="54">
        <f t="shared" ref="K46" si="28">IF(J46&gt;I46,J46-I46,I46-J46)</f>
        <v>0</v>
      </c>
      <c r="L46" s="11">
        <f t="shared" ref="L46" si="29">E46+H46+K46</f>
        <v>0.33333333333333398</v>
      </c>
      <c r="M46" t="s">
        <v>25</v>
      </c>
    </row>
    <row r="47" spans="1:13">
      <c r="A47" t="s">
        <v>195</v>
      </c>
      <c r="B47" s="13" t="s">
        <v>196</v>
      </c>
      <c r="C47" s="53">
        <v>0.33333333333333298</v>
      </c>
      <c r="D47" s="54">
        <v>0.5</v>
      </c>
      <c r="E47" s="54">
        <f t="shared" ref="E47:E49" si="30">IF(D47&gt;C47,D47-C47,C47-D47)</f>
        <v>0.16666666666666702</v>
      </c>
      <c r="F47" s="54"/>
      <c r="G47" s="25"/>
      <c r="H47" s="54">
        <f t="shared" ref="H47" si="31">IF(G47&gt;F47,G47-F47,F47-G47)</f>
        <v>0</v>
      </c>
      <c r="I47" s="56"/>
      <c r="J47" s="56"/>
      <c r="K47" s="54">
        <f t="shared" ref="K47" si="32">IF(J47&gt;I47,J47-I47,I47-J47)</f>
        <v>0</v>
      </c>
      <c r="L47" s="11">
        <f t="shared" ref="L47:L49" si="33">E47+H47+K47</f>
        <v>0.16666666666666702</v>
      </c>
    </row>
    <row r="48" spans="1:13">
      <c r="B48" s="13" t="s">
        <v>117</v>
      </c>
      <c r="C48" s="25">
        <v>0.33333333333333298</v>
      </c>
      <c r="D48" s="54">
        <v>0.5</v>
      </c>
      <c r="E48" s="54">
        <f t="shared" si="30"/>
        <v>0.16666666666666702</v>
      </c>
      <c r="F48" s="54">
        <v>0.54166666666666696</v>
      </c>
      <c r="G48" s="25">
        <v>0.70833333333333304</v>
      </c>
      <c r="H48" s="54">
        <f>IF(G48&gt;F48,G48-F48,F48-G48)</f>
        <v>0.16666666666666607</v>
      </c>
      <c r="I48" s="56"/>
      <c r="J48" s="56"/>
      <c r="K48" s="54">
        <f>IF(J48&gt;I48,J48-I48,I48-J48)</f>
        <v>0</v>
      </c>
      <c r="L48" s="11">
        <f t="shared" si="33"/>
        <v>0.33333333333333309</v>
      </c>
    </row>
    <row r="49" spans="1:13" ht="16.5" thickTop="1" thickBot="1">
      <c r="B49" s="13" t="s">
        <v>198</v>
      </c>
      <c r="C49" s="11"/>
      <c r="D49" s="11"/>
      <c r="E49" s="11">
        <f t="shared" si="30"/>
        <v>0</v>
      </c>
      <c r="F49" s="25">
        <v>0.70833333333333304</v>
      </c>
      <c r="G49" s="11">
        <v>0.75</v>
      </c>
      <c r="H49" s="11">
        <f t="shared" ref="H49" si="34">IF(G49&gt;F49,G49-F49,F49-G49)</f>
        <v>4.1666666666666963E-2</v>
      </c>
      <c r="I49" s="17">
        <v>0.75</v>
      </c>
      <c r="J49" s="29">
        <v>1</v>
      </c>
      <c r="K49" s="11">
        <f t="shared" ref="K49" si="35">IF(J49&gt;I49,J49-I49,I49-J49)</f>
        <v>0.25</v>
      </c>
      <c r="L49" s="11">
        <f t="shared" si="33"/>
        <v>0.29166666666666696</v>
      </c>
    </row>
    <row r="50" spans="1:13" ht="16.5" thickTop="1" thickBot="1">
      <c r="B50" s="13" t="s">
        <v>197</v>
      </c>
      <c r="C50" s="55"/>
      <c r="D50" s="55"/>
      <c r="E50" s="55">
        <f t="shared" ref="E50" si="36">IF(D50&gt;C50,D50-C50,C50-D50)</f>
        <v>0</v>
      </c>
      <c r="F50" s="55"/>
      <c r="G50" s="55"/>
      <c r="H50" s="55">
        <f t="shared" ref="H50" si="37">IF(G50&gt;F50,G50-F50,F50-G50)</f>
        <v>0</v>
      </c>
      <c r="I50" s="57"/>
      <c r="J50" s="57"/>
      <c r="K50" s="55">
        <f t="shared" ref="K50" si="38">IF(J50&gt;I50,J50-I50,I50-J50)</f>
        <v>0</v>
      </c>
      <c r="L50" s="11">
        <f t="shared" ref="L50" si="39">E50+H50+K50</f>
        <v>0</v>
      </c>
      <c r="M50" t="s">
        <v>25</v>
      </c>
    </row>
    <row r="51" spans="1:13" ht="16.5" thickTop="1" thickBot="1">
      <c r="E51" s="15">
        <f>SUM(E40:E50)</f>
        <v>0.95833333333333393</v>
      </c>
      <c r="H51" s="15">
        <f>SUM(H40:H50)</f>
        <v>0.79166666666666696</v>
      </c>
      <c r="K51" s="15">
        <f>SUM(K40:K50)</f>
        <v>0.75</v>
      </c>
      <c r="L51" s="15">
        <f>SUM(L40:L50)</f>
        <v>2.5000000000000009</v>
      </c>
    </row>
    <row r="53" spans="1:13">
      <c r="C53" s="2" t="s">
        <v>180</v>
      </c>
      <c r="G53" s="5" t="s">
        <v>35</v>
      </c>
      <c r="H53" s="6">
        <f>+H37+1</f>
        <v>46247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181</v>
      </c>
      <c r="B56" s="10" t="s">
        <v>182</v>
      </c>
      <c r="C56" s="25">
        <v>0.27083333333333298</v>
      </c>
      <c r="D56" s="11">
        <v>0.60416666666666696</v>
      </c>
      <c r="E56" s="11">
        <f t="shared" ref="E56:E58" si="40">IF(D56&gt;C56,D56-C56,C56-D56)</f>
        <v>0.33333333333333398</v>
      </c>
      <c r="F56" s="54"/>
      <c r="G56" s="25"/>
      <c r="H56" s="11">
        <f t="shared" ref="H56:H58" si="41">IF(G56&gt;F56,G56-F56,F56-G56)</f>
        <v>0</v>
      </c>
      <c r="I56" s="17"/>
      <c r="J56" s="29"/>
      <c r="K56" s="11">
        <f t="shared" ref="K56:K58" si="42">IF(J56&gt;I56,J56-I56,I56-J56)</f>
        <v>0</v>
      </c>
      <c r="L56" s="11">
        <f t="shared" ref="L56:L58" si="43">E56+H56+K56</f>
        <v>0.33333333333333398</v>
      </c>
    </row>
    <row r="57" spans="1:13">
      <c r="A57" t="s">
        <v>183</v>
      </c>
      <c r="B57" s="10" t="s">
        <v>184</v>
      </c>
      <c r="C57" s="55"/>
      <c r="D57" s="55"/>
      <c r="E57" s="55">
        <f t="shared" si="40"/>
        <v>0</v>
      </c>
      <c r="F57" s="55"/>
      <c r="G57" s="55"/>
      <c r="H57" s="55">
        <f t="shared" si="41"/>
        <v>0</v>
      </c>
      <c r="I57" s="57"/>
      <c r="J57" s="57"/>
      <c r="K57" s="55">
        <f t="shared" si="42"/>
        <v>0</v>
      </c>
      <c r="L57" s="11">
        <f t="shared" si="43"/>
        <v>0</v>
      </c>
      <c r="M57" t="s">
        <v>25</v>
      </c>
    </row>
    <row r="58" spans="1:13">
      <c r="A58" t="s">
        <v>185</v>
      </c>
      <c r="B58" s="10" t="s">
        <v>186</v>
      </c>
      <c r="C58" s="25">
        <v>0.33333333333333298</v>
      </c>
      <c r="D58" s="54">
        <v>0.5</v>
      </c>
      <c r="E58" s="54">
        <f t="shared" si="40"/>
        <v>0.16666666666666702</v>
      </c>
      <c r="F58" s="54">
        <v>0.54166666666666696</v>
      </c>
      <c r="G58" s="25">
        <v>0.70833333333333304</v>
      </c>
      <c r="H58" s="54">
        <f t="shared" si="41"/>
        <v>0.16666666666666607</v>
      </c>
      <c r="I58" s="56"/>
      <c r="J58" s="56"/>
      <c r="K58" s="54">
        <f t="shared" si="42"/>
        <v>0</v>
      </c>
      <c r="L58" s="11">
        <f t="shared" si="43"/>
        <v>0.33333333333333309</v>
      </c>
    </row>
    <row r="59" spans="1:13">
      <c r="A59" t="s">
        <v>187</v>
      </c>
      <c r="B59" s="10" t="s">
        <v>188</v>
      </c>
      <c r="C59" s="11">
        <v>0.20833333333333301</v>
      </c>
      <c r="D59" s="11">
        <v>0.33333333333333298</v>
      </c>
      <c r="E59" s="11">
        <f>IF(D59&gt;C59,D59-C59,C59-D59)</f>
        <v>0.12499999999999997</v>
      </c>
      <c r="F59" s="25"/>
      <c r="G59" s="11"/>
      <c r="H59" s="11">
        <f>IF(G59&gt;F59,G59-F59,F59-G59)</f>
        <v>0</v>
      </c>
      <c r="I59" s="17"/>
      <c r="J59" s="29"/>
      <c r="K59" s="11">
        <f>IF(J59&gt;I59,J59-I59,I59-J59)</f>
        <v>0</v>
      </c>
      <c r="L59" s="11">
        <f>E59+H59+K59</f>
        <v>0.12499999999999997</v>
      </c>
    </row>
    <row r="60" spans="1:13">
      <c r="A60" t="s">
        <v>189</v>
      </c>
      <c r="B60" s="10" t="s">
        <v>190</v>
      </c>
      <c r="C60" s="11">
        <v>0.20833333333333301</v>
      </c>
      <c r="D60" s="11">
        <v>0.33333333333333298</v>
      </c>
      <c r="E60" s="11">
        <f>IF(D60&gt;C60,D60-C60,C60-D60)</f>
        <v>0.12499999999999997</v>
      </c>
      <c r="F60" s="25"/>
      <c r="G60" s="11"/>
      <c r="H60" s="11">
        <f>IF(G60&gt;F60,G60-F60,F60-G60)</f>
        <v>0</v>
      </c>
      <c r="I60" s="17"/>
      <c r="J60" s="29"/>
      <c r="K60" s="11">
        <f>IF(J60&gt;I60,J60-I60,I60-J60)</f>
        <v>0</v>
      </c>
      <c r="L60" s="11">
        <f>E60+H60+K60</f>
        <v>0.12499999999999997</v>
      </c>
    </row>
    <row r="61" spans="1:13">
      <c r="A61" t="s">
        <v>191</v>
      </c>
      <c r="B61" s="10" t="s">
        <v>192</v>
      </c>
      <c r="C61" s="11"/>
      <c r="D61" s="11"/>
      <c r="E61" s="11">
        <f t="shared" ref="E61:E62" si="44">IF(D61&gt;C61,D61-C61,C61-D61)</f>
        <v>0</v>
      </c>
      <c r="F61" s="25">
        <v>0.70833333333333304</v>
      </c>
      <c r="G61" s="11">
        <v>0.75</v>
      </c>
      <c r="H61" s="11">
        <f t="shared" ref="H61:H62" si="45">IF(G61&gt;F61,G61-F61,F61-G61)</f>
        <v>4.1666666666666963E-2</v>
      </c>
      <c r="I61" s="17">
        <v>0.75</v>
      </c>
      <c r="J61" s="29">
        <v>1</v>
      </c>
      <c r="K61" s="11">
        <f t="shared" ref="K61:K62" si="46">IF(J61&gt;I61,J61-I61,I61-J61)</f>
        <v>0.25</v>
      </c>
      <c r="L61" s="11">
        <f t="shared" ref="L61:L62" si="47">E61+H61+K61</f>
        <v>0.29166666666666696</v>
      </c>
    </row>
    <row r="62" spans="1:13">
      <c r="A62" t="s">
        <v>193</v>
      </c>
      <c r="B62" s="13" t="s">
        <v>194</v>
      </c>
      <c r="C62" s="53">
        <v>0.33333333333333298</v>
      </c>
      <c r="D62" s="54">
        <v>0.5</v>
      </c>
      <c r="E62" s="54">
        <f t="shared" si="44"/>
        <v>0.16666666666666702</v>
      </c>
      <c r="F62" s="54">
        <v>0.5</v>
      </c>
      <c r="G62" s="25">
        <v>0.66666666666666696</v>
      </c>
      <c r="H62" s="54">
        <f t="shared" si="45"/>
        <v>0.16666666666666696</v>
      </c>
      <c r="I62" s="56"/>
      <c r="J62" s="56"/>
      <c r="K62" s="54">
        <f t="shared" si="46"/>
        <v>0</v>
      </c>
      <c r="L62" s="11">
        <f t="shared" si="47"/>
        <v>0.33333333333333398</v>
      </c>
    </row>
    <row r="63" spans="1:13">
      <c r="A63" t="s">
        <v>195</v>
      </c>
      <c r="B63" s="13" t="s">
        <v>196</v>
      </c>
      <c r="C63" s="11"/>
      <c r="D63" s="11"/>
      <c r="E63" s="11">
        <f t="shared" ref="E63:E64" si="48">IF(D63&gt;C63,D63-C63,C63-D63)</f>
        <v>0</v>
      </c>
      <c r="F63" s="25">
        <v>0.70833333333333304</v>
      </c>
      <c r="G63" s="11">
        <v>0.75</v>
      </c>
      <c r="H63" s="11">
        <f t="shared" ref="H63:H64" si="49">IF(G63&gt;F63,G63-F63,F63-G63)</f>
        <v>4.1666666666666963E-2</v>
      </c>
      <c r="I63" s="17">
        <v>0.75</v>
      </c>
      <c r="J63" s="29">
        <v>1</v>
      </c>
      <c r="K63" s="11">
        <f t="shared" ref="K63:K64" si="50">IF(J63&gt;I63,J63-I63,I63-J63)</f>
        <v>0.25</v>
      </c>
      <c r="L63" s="11">
        <f t="shared" ref="L63:L64" si="51">E63+H63+K63</f>
        <v>0.29166666666666696</v>
      </c>
    </row>
    <row r="64" spans="1:13">
      <c r="B64" s="13" t="s">
        <v>117</v>
      </c>
      <c r="C64" s="11"/>
      <c r="D64" s="11"/>
      <c r="E64" s="11">
        <f t="shared" si="48"/>
        <v>0</v>
      </c>
      <c r="F64" s="25">
        <v>0.70833333333333304</v>
      </c>
      <c r="G64" s="11">
        <v>0.75</v>
      </c>
      <c r="H64" s="11">
        <f t="shared" si="49"/>
        <v>4.1666666666666963E-2</v>
      </c>
      <c r="I64" s="17">
        <v>0.75</v>
      </c>
      <c r="J64" s="29">
        <v>1</v>
      </c>
      <c r="K64" s="11">
        <f t="shared" si="50"/>
        <v>0.25</v>
      </c>
      <c r="L64" s="11">
        <f t="shared" si="51"/>
        <v>0.29166666666666696</v>
      </c>
    </row>
    <row r="65" spans="1:13" ht="16.5" thickTop="1" thickBot="1">
      <c r="B65" s="13" t="s">
        <v>198</v>
      </c>
      <c r="C65" s="11">
        <v>0.20833333333333301</v>
      </c>
      <c r="D65" s="11">
        <v>0.33333333333333298</v>
      </c>
      <c r="E65" s="11">
        <f>IF(D65&gt;C65,D65-C65,C65-D65)</f>
        <v>0.12499999999999997</v>
      </c>
      <c r="F65" s="25"/>
      <c r="G65" s="11"/>
      <c r="H65" s="11">
        <f>IF(G65&gt;F65,G65-F65,F65-G65)</f>
        <v>0</v>
      </c>
      <c r="I65" s="17"/>
      <c r="J65" s="29"/>
      <c r="K65" s="11">
        <f>IF(J65&gt;I65,J65-I65,I65-J65)</f>
        <v>0</v>
      </c>
      <c r="L65" s="11">
        <f>E65+H65+K65</f>
        <v>0.12499999999999997</v>
      </c>
    </row>
    <row r="66" spans="1:13" ht="16.5" thickTop="1" thickBot="1">
      <c r="B66" s="13" t="s">
        <v>197</v>
      </c>
      <c r="C66" s="25">
        <v>0.33333333333333298</v>
      </c>
      <c r="D66" s="54">
        <v>0.5</v>
      </c>
      <c r="E66" s="54">
        <f t="shared" ref="E66" si="52">IF(D66&gt;C66,D66-C66,C66-D66)</f>
        <v>0.16666666666666702</v>
      </c>
      <c r="F66" s="54">
        <v>0.54166666666666696</v>
      </c>
      <c r="G66" s="25">
        <v>0.70833333333333304</v>
      </c>
      <c r="H66" s="54">
        <f t="shared" ref="H66" si="53">IF(G66&gt;F66,G66-F66,F66-G66)</f>
        <v>0.16666666666666607</v>
      </c>
      <c r="I66" s="56"/>
      <c r="J66" s="56"/>
      <c r="K66" s="54">
        <f t="shared" ref="K66" si="54">IF(J66&gt;I66,J66-I66,I66-J66)</f>
        <v>0</v>
      </c>
      <c r="L66" s="11">
        <f t="shared" ref="L66" si="55">E66+H66+K66</f>
        <v>0.33333333333333309</v>
      </c>
    </row>
    <row r="67" spans="1:13" ht="16.5" thickTop="1" thickBot="1">
      <c r="E67" s="15">
        <f>SUM(E56:E66)</f>
        <v>1.208333333333335</v>
      </c>
      <c r="H67" s="15">
        <f>SUM(H56:H66)</f>
        <v>0.625</v>
      </c>
      <c r="K67" s="15">
        <f>SUM(K56:K66)</f>
        <v>0.75</v>
      </c>
      <c r="L67" s="15">
        <f>SUM(L56:L66)</f>
        <v>2.5833333333333348</v>
      </c>
    </row>
    <row r="69" spans="1:13">
      <c r="C69" s="2" t="s">
        <v>180</v>
      </c>
      <c r="G69" s="5" t="s">
        <v>36</v>
      </c>
      <c r="H69" s="6">
        <f>+H53+1</f>
        <v>46248</v>
      </c>
    </row>
    <row r="70" spans="1:13">
      <c r="C70" s="168" t="s">
        <v>3</v>
      </c>
      <c r="D70" s="168"/>
      <c r="E70" s="168"/>
      <c r="F70" s="169" t="s">
        <v>4</v>
      </c>
      <c r="G70" s="169"/>
      <c r="H70" s="169"/>
      <c r="I70" s="170" t="s">
        <v>5</v>
      </c>
      <c r="J70" s="170"/>
      <c r="K70" s="170"/>
    </row>
    <row r="71" spans="1:13">
      <c r="B71" s="7" t="s">
        <v>6</v>
      </c>
      <c r="C71" s="8" t="s">
        <v>7</v>
      </c>
      <c r="D71" s="8" t="s">
        <v>8</v>
      </c>
      <c r="E71" s="8" t="s">
        <v>9</v>
      </c>
      <c r="F71" s="9" t="s">
        <v>7</v>
      </c>
      <c r="G71" s="9" t="s">
        <v>8</v>
      </c>
      <c r="H71" s="9" t="s">
        <v>9</v>
      </c>
      <c r="I71" s="16" t="s">
        <v>7</v>
      </c>
      <c r="J71" s="16" t="s">
        <v>8</v>
      </c>
      <c r="K71" s="16" t="s">
        <v>9</v>
      </c>
      <c r="L71" s="7" t="s">
        <v>10</v>
      </c>
    </row>
    <row r="72" spans="1:13">
      <c r="A72" t="s">
        <v>181</v>
      </c>
      <c r="B72" s="10" t="s">
        <v>182</v>
      </c>
      <c r="C72" s="25">
        <v>0.27083333333333298</v>
      </c>
      <c r="D72" s="11">
        <v>0.60416666666666696</v>
      </c>
      <c r="E72" s="11">
        <f t="shared" ref="E72:E73" si="56">IF(D72&gt;C72,D72-C72,C72-D72)</f>
        <v>0.33333333333333398</v>
      </c>
      <c r="F72" s="54"/>
      <c r="G72" s="25"/>
      <c r="H72" s="11">
        <f>IF(G72&gt;F72,G72-F72,F72-G72)</f>
        <v>0</v>
      </c>
      <c r="I72" s="17"/>
      <c r="J72" s="29"/>
      <c r="K72" s="11">
        <f t="shared" ref="K72:K73" si="57">IF(J72&gt;I72,J72-I72,I72-J72)</f>
        <v>0</v>
      </c>
      <c r="L72" s="11">
        <f t="shared" ref="L72:L73" si="58">E72+H72+K72</f>
        <v>0.33333333333333398</v>
      </c>
    </row>
    <row r="73" spans="1:13">
      <c r="A73" t="s">
        <v>183</v>
      </c>
      <c r="B73" s="10" t="s">
        <v>184</v>
      </c>
      <c r="C73" s="55"/>
      <c r="D73" s="55"/>
      <c r="E73" s="55">
        <f t="shared" si="56"/>
        <v>0</v>
      </c>
      <c r="F73" s="55"/>
      <c r="G73" s="55"/>
      <c r="H73" s="55">
        <f>IF(G73&gt;F73,G73-F73,F73-G73)</f>
        <v>0</v>
      </c>
      <c r="I73" s="57"/>
      <c r="J73" s="57"/>
      <c r="K73" s="55">
        <f t="shared" si="57"/>
        <v>0</v>
      </c>
      <c r="L73" s="11">
        <f t="shared" si="58"/>
        <v>0</v>
      </c>
      <c r="M73" t="s">
        <v>25</v>
      </c>
    </row>
    <row r="74" spans="1:13">
      <c r="A74" t="s">
        <v>185</v>
      </c>
      <c r="B74" s="10" t="s">
        <v>186</v>
      </c>
      <c r="C74" s="55"/>
      <c r="D74" s="55"/>
      <c r="E74" s="55">
        <f t="shared" ref="E74:E77" si="59">IF(D74&gt;C74,D74-C74,C74-D74)</f>
        <v>0</v>
      </c>
      <c r="F74" s="55"/>
      <c r="G74" s="55"/>
      <c r="H74" s="55">
        <f>IF(G74&gt;F74,G74-F74,F74-G74)</f>
        <v>0</v>
      </c>
      <c r="I74" s="57"/>
      <c r="J74" s="57"/>
      <c r="K74" s="55">
        <f t="shared" ref="K74:K77" si="60">IF(J74&gt;I74,J74-I74,I74-J74)</f>
        <v>0</v>
      </c>
      <c r="L74" s="11">
        <f t="shared" ref="L74:L77" si="61">E74+H74+K74</f>
        <v>0</v>
      </c>
      <c r="M74" t="s">
        <v>25</v>
      </c>
    </row>
    <row r="75" spans="1:13">
      <c r="A75" t="s">
        <v>187</v>
      </c>
      <c r="B75" s="10" t="s">
        <v>188</v>
      </c>
      <c r="C75" s="11"/>
      <c r="D75" s="11"/>
      <c r="E75" s="11">
        <f t="shared" si="59"/>
        <v>0</v>
      </c>
      <c r="F75" s="25">
        <v>0.70833333333333304</v>
      </c>
      <c r="G75" s="11">
        <v>0.75</v>
      </c>
      <c r="H75" s="11">
        <f t="shared" ref="H75:H77" si="62">IF(G75&gt;F75,G75-F75,F75-G75)</f>
        <v>4.1666666666666963E-2</v>
      </c>
      <c r="I75" s="17">
        <v>0.75</v>
      </c>
      <c r="J75" s="29">
        <v>1</v>
      </c>
      <c r="K75" s="11">
        <f t="shared" si="60"/>
        <v>0.25</v>
      </c>
      <c r="L75" s="11">
        <f t="shared" si="61"/>
        <v>0.29166666666666696</v>
      </c>
    </row>
    <row r="76" spans="1:13">
      <c r="A76" t="s">
        <v>189</v>
      </c>
      <c r="B76" s="10" t="s">
        <v>190</v>
      </c>
      <c r="C76" s="11"/>
      <c r="D76" s="11"/>
      <c r="E76" s="11">
        <f t="shared" si="59"/>
        <v>0</v>
      </c>
      <c r="F76" s="25">
        <v>0.70833333333333304</v>
      </c>
      <c r="G76" s="11">
        <v>0.75</v>
      </c>
      <c r="H76" s="11">
        <f t="shared" si="62"/>
        <v>4.1666666666666963E-2</v>
      </c>
      <c r="I76" s="17">
        <v>0.75</v>
      </c>
      <c r="J76" s="29">
        <v>1</v>
      </c>
      <c r="K76" s="11">
        <f t="shared" si="60"/>
        <v>0.25</v>
      </c>
      <c r="L76" s="11">
        <f t="shared" si="61"/>
        <v>0.29166666666666696</v>
      </c>
    </row>
    <row r="77" spans="1:13">
      <c r="A77" t="s">
        <v>191</v>
      </c>
      <c r="B77" s="10" t="s">
        <v>192</v>
      </c>
      <c r="C77" s="25">
        <v>0.20833333333333301</v>
      </c>
      <c r="D77" s="25">
        <v>0.33333333333333298</v>
      </c>
      <c r="E77" s="11">
        <f t="shared" si="59"/>
        <v>0.12499999999999997</v>
      </c>
      <c r="F77" s="25"/>
      <c r="G77" s="11"/>
      <c r="H77" s="11">
        <f t="shared" si="62"/>
        <v>0</v>
      </c>
      <c r="I77" s="17"/>
      <c r="J77" s="29"/>
      <c r="K77" s="11">
        <f t="shared" si="60"/>
        <v>0</v>
      </c>
      <c r="L77" s="11">
        <f t="shared" si="61"/>
        <v>0.12499999999999997</v>
      </c>
    </row>
    <row r="78" spans="1:13">
      <c r="A78" t="s">
        <v>193</v>
      </c>
      <c r="B78" s="13" t="s">
        <v>194</v>
      </c>
      <c r="C78" s="25">
        <v>0.33333333333333298</v>
      </c>
      <c r="D78" s="11">
        <v>0.5</v>
      </c>
      <c r="E78" s="11">
        <f t="shared" ref="E78" si="63">IF(D78&gt;C78,D78-C78,C78-D78)</f>
        <v>0.16666666666666702</v>
      </c>
      <c r="F78" s="11">
        <v>0.54166666666666696</v>
      </c>
      <c r="G78" s="25">
        <v>0.66666666666666696</v>
      </c>
      <c r="H78" s="11">
        <f t="shared" ref="H78:H82" si="64">IF(G78&gt;F78,G78-F78,F78-G78)</f>
        <v>0.125</v>
      </c>
      <c r="I78" s="17"/>
      <c r="J78" s="29"/>
      <c r="K78" s="11">
        <f t="shared" ref="K78" si="65">IF(J78&gt;I78,J78-I78,I78-J78)</f>
        <v>0</v>
      </c>
      <c r="L78" s="11">
        <f t="shared" ref="L78" si="66">E78+H78+K78</f>
        <v>0.29166666666666702</v>
      </c>
    </row>
    <row r="79" spans="1:13">
      <c r="A79" t="s">
        <v>195</v>
      </c>
      <c r="B79" s="13" t="s">
        <v>196</v>
      </c>
      <c r="C79" s="25">
        <v>0.20833333333333301</v>
      </c>
      <c r="D79" s="25">
        <v>0.33333333333333298</v>
      </c>
      <c r="E79" s="11">
        <f t="shared" ref="E79:E82" si="67">IF(D79&gt;C79,D79-C79,C79-D79)</f>
        <v>0.12499999999999997</v>
      </c>
      <c r="F79" s="25"/>
      <c r="G79" s="11"/>
      <c r="H79" s="11">
        <f t="shared" si="64"/>
        <v>0</v>
      </c>
      <c r="I79" s="17"/>
      <c r="J79" s="29"/>
      <c r="K79" s="11">
        <f t="shared" ref="K79:K82" si="68">IF(J79&gt;I79,J79-I79,I79-J79)</f>
        <v>0</v>
      </c>
      <c r="L79" s="11">
        <f t="shared" ref="L79:L82" si="69">E79+H79+K79</f>
        <v>0.12499999999999997</v>
      </c>
    </row>
    <row r="80" spans="1:13">
      <c r="B80" s="13" t="s">
        <v>117</v>
      </c>
      <c r="C80" s="25">
        <v>0.20833333333333301</v>
      </c>
      <c r="D80" s="25">
        <v>0.33333333333333298</v>
      </c>
      <c r="E80" s="11">
        <f t="shared" si="67"/>
        <v>0.12499999999999997</v>
      </c>
      <c r="F80" s="25"/>
      <c r="G80" s="11"/>
      <c r="H80" s="11">
        <f t="shared" si="64"/>
        <v>0</v>
      </c>
      <c r="I80" s="17"/>
      <c r="J80" s="29"/>
      <c r="K80" s="11">
        <f t="shared" si="68"/>
        <v>0</v>
      </c>
      <c r="L80" s="11">
        <f t="shared" si="69"/>
        <v>0.12499999999999997</v>
      </c>
    </row>
    <row r="81" spans="1:13" ht="16.5" thickTop="1" thickBot="1">
      <c r="B81" s="13" t="s">
        <v>198</v>
      </c>
      <c r="C81" s="25">
        <v>0.33333333333333298</v>
      </c>
      <c r="D81" s="54">
        <v>0.5</v>
      </c>
      <c r="E81" s="54">
        <f t="shared" si="67"/>
        <v>0.16666666666666702</v>
      </c>
      <c r="F81" s="54">
        <v>0.54166666666666696</v>
      </c>
      <c r="G81" s="25">
        <v>0.70833333333333304</v>
      </c>
      <c r="H81" s="54">
        <f t="shared" si="64"/>
        <v>0.16666666666666607</v>
      </c>
      <c r="I81" s="56"/>
      <c r="J81" s="56"/>
      <c r="K81" s="54">
        <f t="shared" si="68"/>
        <v>0</v>
      </c>
      <c r="L81" s="11">
        <f t="shared" si="69"/>
        <v>0.33333333333333309</v>
      </c>
    </row>
    <row r="82" spans="1:13" ht="16.5" thickTop="1" thickBot="1">
      <c r="B82" s="13" t="s">
        <v>197</v>
      </c>
      <c r="C82" s="25">
        <v>0.33333333333333298</v>
      </c>
      <c r="D82" s="54">
        <v>0.5</v>
      </c>
      <c r="E82" s="54">
        <f t="shared" si="67"/>
        <v>0.16666666666666702</v>
      </c>
      <c r="F82" s="54">
        <v>0.54166666666666696</v>
      </c>
      <c r="G82" s="25">
        <v>0.70833333333333304</v>
      </c>
      <c r="H82" s="54">
        <f t="shared" si="64"/>
        <v>0.16666666666666607</v>
      </c>
      <c r="I82" s="56"/>
      <c r="J82" s="56"/>
      <c r="K82" s="54">
        <f t="shared" si="68"/>
        <v>0</v>
      </c>
      <c r="L82" s="11">
        <f t="shared" si="69"/>
        <v>0.33333333333333309</v>
      </c>
    </row>
    <row r="83" spans="1:13" ht="16.5" thickTop="1" thickBot="1">
      <c r="E83" s="15">
        <f>SUM(E72:E82)</f>
        <v>1.2083333333333348</v>
      </c>
      <c r="H83" s="15">
        <f>SUM(H72:H82)</f>
        <v>0.54166666666666607</v>
      </c>
      <c r="K83" s="15">
        <f>SUM(K72:K82)</f>
        <v>0.5</v>
      </c>
      <c r="L83" s="15">
        <f>SUM(L72:L82)</f>
        <v>2.2500000000000009</v>
      </c>
    </row>
    <row r="85" spans="1:13">
      <c r="C85" s="2" t="s">
        <v>180</v>
      </c>
      <c r="G85" s="5" t="s">
        <v>37</v>
      </c>
      <c r="H85" s="6">
        <f>+H69+1</f>
        <v>46249</v>
      </c>
    </row>
    <row r="86" spans="1:13">
      <c r="C86" s="168" t="s">
        <v>3</v>
      </c>
      <c r="D86" s="168"/>
      <c r="E86" s="168"/>
      <c r="F86" s="169" t="s">
        <v>4</v>
      </c>
      <c r="G86" s="169"/>
      <c r="H86" s="169"/>
      <c r="I86" s="170" t="s">
        <v>5</v>
      </c>
      <c r="J86" s="170"/>
      <c r="K86" s="170"/>
    </row>
    <row r="87" spans="1:13">
      <c r="B87" s="7" t="s">
        <v>6</v>
      </c>
      <c r="C87" s="8" t="s">
        <v>7</v>
      </c>
      <c r="D87" s="8" t="s">
        <v>8</v>
      </c>
      <c r="E87" s="8" t="s">
        <v>9</v>
      </c>
      <c r="F87" s="9" t="s">
        <v>7</v>
      </c>
      <c r="G87" s="9" t="s">
        <v>8</v>
      </c>
      <c r="H87" s="9" t="s">
        <v>9</v>
      </c>
      <c r="I87" s="16" t="s">
        <v>7</v>
      </c>
      <c r="J87" s="16" t="s">
        <v>8</v>
      </c>
      <c r="K87" s="16" t="s">
        <v>9</v>
      </c>
      <c r="L87" s="7" t="s">
        <v>10</v>
      </c>
    </row>
    <row r="88" spans="1:13">
      <c r="A88" t="s">
        <v>181</v>
      </c>
      <c r="B88" s="10" t="s">
        <v>182</v>
      </c>
      <c r="C88" s="55"/>
      <c r="D88" s="55"/>
      <c r="E88" s="55">
        <f t="shared" ref="E88" si="70">IF(D88&gt;C88,D88-C88,C88-D88)</f>
        <v>0</v>
      </c>
      <c r="F88" s="55"/>
      <c r="G88" s="55"/>
      <c r="H88" s="55">
        <f>IF(G88&gt;F88,G88-F88,F88-G88)</f>
        <v>0</v>
      </c>
      <c r="I88" s="57"/>
      <c r="J88" s="57"/>
      <c r="K88" s="55">
        <f t="shared" ref="K88" si="71">IF(J88&gt;I88,J88-I88,I88-J88)</f>
        <v>0</v>
      </c>
      <c r="L88" s="11">
        <f t="shared" ref="L88" si="72">E88+H88+K88</f>
        <v>0</v>
      </c>
      <c r="M88" t="s">
        <v>25</v>
      </c>
    </row>
    <row r="89" spans="1:13">
      <c r="A89" t="s">
        <v>183</v>
      </c>
      <c r="B89" s="10" t="s">
        <v>184</v>
      </c>
      <c r="C89" s="55"/>
      <c r="D89" s="55"/>
      <c r="E89" s="55">
        <f t="shared" ref="E89" si="73">IF(D89&gt;C89,D89-C89,C89-D89)</f>
        <v>0</v>
      </c>
      <c r="F89" s="55"/>
      <c r="G89" s="55"/>
      <c r="H89" s="55">
        <f>IF(G89&gt;F89,G89-F89,F89-G89)</f>
        <v>0</v>
      </c>
      <c r="I89" s="57"/>
      <c r="J89" s="57"/>
      <c r="K89" s="55">
        <f t="shared" ref="K89" si="74">IF(J89&gt;I89,J89-I89,I89-J89)</f>
        <v>0</v>
      </c>
      <c r="L89" s="11">
        <f t="shared" ref="L89" si="75">E89+H89+K89</f>
        <v>0</v>
      </c>
      <c r="M89" t="s">
        <v>25</v>
      </c>
    </row>
    <row r="90" spans="1:13">
      <c r="A90" t="s">
        <v>185</v>
      </c>
      <c r="B90" s="10" t="s">
        <v>186</v>
      </c>
      <c r="C90" s="25">
        <v>0.33333333333333298</v>
      </c>
      <c r="D90" s="11">
        <v>0.5</v>
      </c>
      <c r="E90" s="11">
        <f t="shared" ref="E90:E94" si="76">IF(D90&gt;C90,D90-C90,C90-D90)</f>
        <v>0.16666666666666702</v>
      </c>
      <c r="F90" s="54">
        <v>0.54166666666666696</v>
      </c>
      <c r="G90" s="25">
        <v>0.70833333333333304</v>
      </c>
      <c r="H90" s="11">
        <f>IF(G90&gt;F90,G90-F90,F90-G90)</f>
        <v>0.16666666666666607</v>
      </c>
      <c r="I90" s="17"/>
      <c r="J90" s="29"/>
      <c r="K90" s="11">
        <f t="shared" ref="K90:K94" si="77">IF(J90&gt;I90,J90-I90,I90-J90)</f>
        <v>0</v>
      </c>
      <c r="L90" s="11">
        <f t="shared" ref="L90:L94" si="78">E90+H90+K90</f>
        <v>0.33333333333333309</v>
      </c>
    </row>
    <row r="91" spans="1:13">
      <c r="A91" t="s">
        <v>187</v>
      </c>
      <c r="B91" s="10" t="s">
        <v>188</v>
      </c>
      <c r="C91" s="11">
        <v>0.20833333333333301</v>
      </c>
      <c r="D91" s="11">
        <v>0.33333333333333298</v>
      </c>
      <c r="E91" s="11">
        <f t="shared" si="76"/>
        <v>0.12499999999999997</v>
      </c>
      <c r="F91" s="25"/>
      <c r="G91" s="11"/>
      <c r="H91" s="11">
        <f t="shared" ref="H91:H94" si="79">IF(G91&gt;F91,G91-F91,F91-G91)</f>
        <v>0</v>
      </c>
      <c r="I91" s="17"/>
      <c r="J91" s="29"/>
      <c r="K91" s="11">
        <f t="shared" si="77"/>
        <v>0</v>
      </c>
      <c r="L91" s="11">
        <f t="shared" si="78"/>
        <v>0.12499999999999997</v>
      </c>
    </row>
    <row r="92" spans="1:13">
      <c r="A92" t="s">
        <v>189</v>
      </c>
      <c r="B92" s="10" t="s">
        <v>190</v>
      </c>
      <c r="C92" s="11">
        <v>0.20833333333333301</v>
      </c>
      <c r="D92" s="11">
        <v>0.33333333333333298</v>
      </c>
      <c r="E92" s="11">
        <f t="shared" si="76"/>
        <v>0.12499999999999997</v>
      </c>
      <c r="F92" s="25"/>
      <c r="G92" s="11"/>
      <c r="H92" s="11">
        <f t="shared" si="79"/>
        <v>0</v>
      </c>
      <c r="I92" s="17"/>
      <c r="J92" s="29"/>
      <c r="K92" s="11">
        <f t="shared" si="77"/>
        <v>0</v>
      </c>
      <c r="L92" s="11">
        <f t="shared" si="78"/>
        <v>0.12499999999999997</v>
      </c>
    </row>
    <row r="93" spans="1:13">
      <c r="A93" t="s">
        <v>191</v>
      </c>
      <c r="B93" s="10" t="s">
        <v>192</v>
      </c>
      <c r="C93" s="11"/>
      <c r="D93" s="11"/>
      <c r="E93" s="11">
        <f t="shared" si="76"/>
        <v>0</v>
      </c>
      <c r="F93" s="25">
        <v>0.70833333333333304</v>
      </c>
      <c r="G93" s="11">
        <v>0.75</v>
      </c>
      <c r="H93" s="11">
        <f t="shared" si="79"/>
        <v>4.1666666666666963E-2</v>
      </c>
      <c r="I93" s="17">
        <v>0.75</v>
      </c>
      <c r="J93" s="29">
        <v>1</v>
      </c>
      <c r="K93" s="11">
        <f t="shared" si="77"/>
        <v>0.25</v>
      </c>
      <c r="L93" s="11">
        <f t="shared" si="78"/>
        <v>0.29166666666666696</v>
      </c>
    </row>
    <row r="94" spans="1:13">
      <c r="A94" t="s">
        <v>193</v>
      </c>
      <c r="B94" s="13" t="s">
        <v>194</v>
      </c>
      <c r="C94" s="25">
        <v>0.33333333333333298</v>
      </c>
      <c r="D94" s="11">
        <v>0.5</v>
      </c>
      <c r="E94" s="11">
        <f t="shared" si="76"/>
        <v>0.16666666666666702</v>
      </c>
      <c r="F94" s="11">
        <v>0.54166666666666696</v>
      </c>
      <c r="G94" s="25">
        <v>0.66666666666666696</v>
      </c>
      <c r="H94" s="11">
        <f t="shared" si="79"/>
        <v>0.125</v>
      </c>
      <c r="I94" s="17"/>
      <c r="J94" s="29"/>
      <c r="K94" s="11">
        <f t="shared" si="77"/>
        <v>0</v>
      </c>
      <c r="L94" s="11">
        <f t="shared" si="78"/>
        <v>0.29166666666666702</v>
      </c>
      <c r="M94" t="s">
        <v>25</v>
      </c>
    </row>
    <row r="95" spans="1:13">
      <c r="A95" t="s">
        <v>195</v>
      </c>
      <c r="B95" s="13" t="s">
        <v>196</v>
      </c>
      <c r="C95" s="11"/>
      <c r="D95" s="11"/>
      <c r="E95" s="11">
        <f t="shared" ref="E95:E96" si="80">IF(D95&gt;C95,D95-C95,C95-D95)</f>
        <v>0</v>
      </c>
      <c r="F95" s="25">
        <v>0.70833333333333304</v>
      </c>
      <c r="G95" s="11">
        <v>0.75</v>
      </c>
      <c r="H95" s="11">
        <f t="shared" ref="H95:H96" si="81">IF(G95&gt;F95,G95-F95,F95-G95)</f>
        <v>4.1666666666666963E-2</v>
      </c>
      <c r="I95" s="17">
        <v>0.75</v>
      </c>
      <c r="J95" s="29">
        <v>1</v>
      </c>
      <c r="K95" s="11">
        <f t="shared" ref="K95:K96" si="82">IF(J95&gt;I95,J95-I95,I95-J95)</f>
        <v>0.25</v>
      </c>
      <c r="L95" s="11">
        <f t="shared" ref="L95:L96" si="83">E95+H95+K95</f>
        <v>0.29166666666666696</v>
      </c>
    </row>
    <row r="96" spans="1:13">
      <c r="B96" s="13" t="s">
        <v>117</v>
      </c>
      <c r="C96" s="25">
        <v>0.33333333333333298</v>
      </c>
      <c r="D96" s="54">
        <v>0.5</v>
      </c>
      <c r="E96" s="54">
        <f t="shared" si="80"/>
        <v>0.16666666666666702</v>
      </c>
      <c r="F96" s="54">
        <v>0.54166666666666696</v>
      </c>
      <c r="G96" s="25">
        <v>0.70833333333333304</v>
      </c>
      <c r="H96" s="54">
        <f t="shared" si="81"/>
        <v>0.16666666666666607</v>
      </c>
      <c r="I96" s="56"/>
      <c r="J96" s="56"/>
      <c r="K96" s="54">
        <f t="shared" si="82"/>
        <v>0</v>
      </c>
      <c r="L96" s="11">
        <f t="shared" si="83"/>
        <v>0.33333333333333309</v>
      </c>
    </row>
    <row r="97" spans="1:13" ht="16.5" thickTop="1" thickBot="1">
      <c r="B97" s="13" t="s">
        <v>198</v>
      </c>
      <c r="C97" s="11"/>
      <c r="D97" s="11"/>
      <c r="E97" s="11">
        <f t="shared" ref="E97:E98" si="84">IF(D97&gt;C97,D97-C97,C97-D97)</f>
        <v>0</v>
      </c>
      <c r="F97" s="25">
        <v>0.70833333333333304</v>
      </c>
      <c r="G97" s="11">
        <v>0.75</v>
      </c>
      <c r="H97" s="11">
        <f t="shared" ref="H97:H98" si="85">IF(G97&gt;F97,G97-F97,F97-G97)</f>
        <v>4.1666666666666963E-2</v>
      </c>
      <c r="I97" s="17">
        <v>0.75</v>
      </c>
      <c r="J97" s="29">
        <v>1</v>
      </c>
      <c r="K97" s="11">
        <f t="shared" ref="K97:K98" si="86">IF(J97&gt;I97,J97-I97,I97-J97)</f>
        <v>0.25</v>
      </c>
      <c r="L97" s="11">
        <f t="shared" ref="L97:L98" si="87">E97+H97+K97</f>
        <v>0.29166666666666696</v>
      </c>
    </row>
    <row r="98" spans="1:13" ht="16.5" thickTop="1" thickBot="1">
      <c r="B98" s="13" t="s">
        <v>197</v>
      </c>
      <c r="C98" s="25">
        <v>0.33333333333333298</v>
      </c>
      <c r="D98" s="54">
        <v>0.5</v>
      </c>
      <c r="E98" s="54">
        <f t="shared" si="84"/>
        <v>0.16666666666666702</v>
      </c>
      <c r="F98" s="54">
        <v>0.54166666666666696</v>
      </c>
      <c r="G98" s="25">
        <v>0.70833333333333304</v>
      </c>
      <c r="H98" s="54">
        <f t="shared" si="85"/>
        <v>0.16666666666666607</v>
      </c>
      <c r="I98" s="56"/>
      <c r="J98" s="56"/>
      <c r="K98" s="54">
        <f t="shared" si="86"/>
        <v>0</v>
      </c>
      <c r="L98" s="11">
        <f t="shared" si="87"/>
        <v>0.33333333333333309</v>
      </c>
    </row>
    <row r="99" spans="1:13" ht="16.5" thickTop="1" thickBot="1">
      <c r="E99" s="15">
        <f>SUM(E88:E98)</f>
        <v>0.91666666666666785</v>
      </c>
      <c r="H99" s="15">
        <f>SUM(H88:H98)</f>
        <v>0.74999999999999911</v>
      </c>
      <c r="K99" s="15">
        <f>SUM(K88:K98)</f>
        <v>0.75</v>
      </c>
      <c r="L99" s="15">
        <f>SUM(L88:L98)</f>
        <v>2.416666666666667</v>
      </c>
    </row>
    <row r="101" spans="1:13">
      <c r="C101" s="2" t="s">
        <v>180</v>
      </c>
      <c r="G101" s="5" t="s">
        <v>38</v>
      </c>
      <c r="H101" s="6">
        <f>+H85+1</f>
        <v>46250</v>
      </c>
    </row>
    <row r="102" spans="1:13">
      <c r="C102" s="168" t="s">
        <v>3</v>
      </c>
      <c r="D102" s="168"/>
      <c r="E102" s="168"/>
      <c r="F102" s="169" t="s">
        <v>4</v>
      </c>
      <c r="G102" s="169"/>
      <c r="H102" s="169"/>
      <c r="I102" s="170" t="s">
        <v>5</v>
      </c>
      <c r="J102" s="170"/>
      <c r="K102" s="170"/>
    </row>
    <row r="103" spans="1:13">
      <c r="B103" s="7" t="s">
        <v>6</v>
      </c>
      <c r="C103" s="8" t="s">
        <v>7</v>
      </c>
      <c r="D103" s="8" t="s">
        <v>8</v>
      </c>
      <c r="E103" s="8" t="s">
        <v>9</v>
      </c>
      <c r="F103" s="9" t="s">
        <v>7</v>
      </c>
      <c r="G103" s="9" t="s">
        <v>8</v>
      </c>
      <c r="H103" s="9" t="s">
        <v>9</v>
      </c>
      <c r="I103" s="16" t="s">
        <v>7</v>
      </c>
      <c r="J103" s="16" t="s">
        <v>8</v>
      </c>
      <c r="K103" s="16" t="s">
        <v>9</v>
      </c>
      <c r="L103" s="7" t="s">
        <v>10</v>
      </c>
    </row>
    <row r="104" spans="1:13">
      <c r="A104" t="s">
        <v>181</v>
      </c>
      <c r="B104" s="10" t="s">
        <v>182</v>
      </c>
      <c r="C104" s="25">
        <v>0.33333333333333298</v>
      </c>
      <c r="D104" s="11">
        <v>0.58333333333333337</v>
      </c>
      <c r="E104" s="11">
        <f t="shared" ref="E104" si="88">IF(D104&gt;C104,D104-C104,C104-D104)</f>
        <v>0.25000000000000039</v>
      </c>
      <c r="F104" s="54"/>
      <c r="G104" s="25"/>
      <c r="H104" s="11">
        <f>IF(G104&gt;F104,G104-F104,F104-G104)</f>
        <v>0</v>
      </c>
      <c r="I104" s="17"/>
      <c r="J104" s="29"/>
      <c r="K104" s="11">
        <f t="shared" ref="K104" si="89">IF(J104&gt;I104,J104-I104,I104-J104)</f>
        <v>0</v>
      </c>
      <c r="L104" s="11">
        <f t="shared" ref="L104" si="90">E104+H104+K104</f>
        <v>0.25000000000000039</v>
      </c>
    </row>
    <row r="105" spans="1:13">
      <c r="A105" t="s">
        <v>183</v>
      </c>
      <c r="B105" s="10" t="s">
        <v>184</v>
      </c>
      <c r="C105" s="55"/>
      <c r="D105" s="55"/>
      <c r="E105" s="55">
        <f t="shared" ref="E105:E109" si="91">IF(D105&gt;C105,D105-C105,C105-D105)</f>
        <v>0</v>
      </c>
      <c r="F105" s="55"/>
      <c r="G105" s="55"/>
      <c r="H105" s="55">
        <f t="shared" ref="H105:H109" si="92">IF(G105&gt;F105,G105-F105,F105-G105)</f>
        <v>0</v>
      </c>
      <c r="I105" s="57"/>
      <c r="J105" s="57"/>
      <c r="K105" s="55">
        <f t="shared" ref="K105:K109" si="93">IF(J105&gt;I105,J105-I105,I105-J105)</f>
        <v>0</v>
      </c>
      <c r="L105" s="11">
        <f t="shared" ref="L105:L109" si="94">E105+H105+K105</f>
        <v>0</v>
      </c>
      <c r="M105" t="s">
        <v>25</v>
      </c>
    </row>
    <row r="106" spans="1:13">
      <c r="A106" t="s">
        <v>185</v>
      </c>
      <c r="B106" s="10" t="s">
        <v>186</v>
      </c>
      <c r="C106" s="25">
        <v>0.33333333333333298</v>
      </c>
      <c r="D106" s="54">
        <v>0.5</v>
      </c>
      <c r="E106" s="54">
        <f t="shared" si="91"/>
        <v>0.16666666666666702</v>
      </c>
      <c r="F106" s="54">
        <v>0.54166666666666696</v>
      </c>
      <c r="G106" s="25">
        <v>0.70833333333333304</v>
      </c>
      <c r="H106" s="54">
        <f t="shared" si="92"/>
        <v>0.16666666666666607</v>
      </c>
      <c r="I106" s="56"/>
      <c r="J106" s="56"/>
      <c r="K106" s="54">
        <f t="shared" si="93"/>
        <v>0</v>
      </c>
      <c r="L106" s="11">
        <f t="shared" si="94"/>
        <v>0.33333333333333309</v>
      </c>
    </row>
    <row r="107" spans="1:13">
      <c r="A107" t="s">
        <v>187</v>
      </c>
      <c r="B107" s="10" t="s">
        <v>188</v>
      </c>
      <c r="C107" s="11"/>
      <c r="D107" s="11"/>
      <c r="E107" s="11">
        <f t="shared" si="91"/>
        <v>0</v>
      </c>
      <c r="F107" s="25">
        <v>0.70833333333333304</v>
      </c>
      <c r="G107" s="11">
        <v>0.75</v>
      </c>
      <c r="H107" s="11">
        <f t="shared" si="92"/>
        <v>4.1666666666666963E-2</v>
      </c>
      <c r="I107" s="17">
        <v>0.75</v>
      </c>
      <c r="J107" s="29">
        <v>1</v>
      </c>
      <c r="K107" s="11">
        <f t="shared" si="93"/>
        <v>0.25</v>
      </c>
      <c r="L107" s="11">
        <f t="shared" si="94"/>
        <v>0.29166666666666696</v>
      </c>
    </row>
    <row r="108" spans="1:13">
      <c r="A108" t="s">
        <v>189</v>
      </c>
      <c r="B108" s="10" t="s">
        <v>190</v>
      </c>
      <c r="C108" s="11"/>
      <c r="D108" s="11"/>
      <c r="E108" s="11">
        <f t="shared" si="91"/>
        <v>0</v>
      </c>
      <c r="F108" s="25">
        <v>0.70833333333333304</v>
      </c>
      <c r="G108" s="11">
        <v>0.75</v>
      </c>
      <c r="H108" s="11">
        <f t="shared" si="92"/>
        <v>4.1666666666666963E-2</v>
      </c>
      <c r="I108" s="17">
        <v>0.75</v>
      </c>
      <c r="J108" s="29">
        <v>1</v>
      </c>
      <c r="K108" s="11">
        <f t="shared" si="93"/>
        <v>0.25</v>
      </c>
      <c r="L108" s="11">
        <f t="shared" si="94"/>
        <v>0.29166666666666696</v>
      </c>
    </row>
    <row r="109" spans="1:13">
      <c r="A109" t="s">
        <v>191</v>
      </c>
      <c r="B109" s="10" t="s">
        <v>192</v>
      </c>
      <c r="C109" s="11">
        <v>0.20833333333333301</v>
      </c>
      <c r="D109" s="11">
        <v>0.33333333333333298</v>
      </c>
      <c r="E109" s="11">
        <f t="shared" si="91"/>
        <v>0.12499999999999997</v>
      </c>
      <c r="F109" s="25"/>
      <c r="G109" s="11"/>
      <c r="H109" s="11">
        <f t="shared" si="92"/>
        <v>0</v>
      </c>
      <c r="I109" s="17"/>
      <c r="J109" s="29"/>
      <c r="K109" s="11">
        <f t="shared" si="93"/>
        <v>0</v>
      </c>
      <c r="L109" s="11">
        <f t="shared" si="94"/>
        <v>0.12499999999999997</v>
      </c>
    </row>
    <row r="110" spans="1:13">
      <c r="A110" t="s">
        <v>193</v>
      </c>
      <c r="B110" s="13" t="s">
        <v>194</v>
      </c>
      <c r="C110" s="55"/>
      <c r="D110" s="55"/>
      <c r="E110" s="55">
        <f t="shared" ref="E110:E112" si="95">IF(D110&gt;C110,D110-C110,C110-D110)</f>
        <v>0</v>
      </c>
      <c r="F110" s="55"/>
      <c r="G110" s="55"/>
      <c r="H110" s="55">
        <f t="shared" ref="H110:H112" si="96">IF(G110&gt;F110,G110-F110,F110-G110)</f>
        <v>0</v>
      </c>
      <c r="I110" s="57"/>
      <c r="J110" s="57"/>
      <c r="K110" s="55">
        <f t="shared" ref="K110:K112" si="97">IF(J110&gt;I110,J110-I110,I110-J110)</f>
        <v>0</v>
      </c>
      <c r="L110" s="11">
        <f t="shared" ref="L110:L112" si="98">E110+H110+K110</f>
        <v>0</v>
      </c>
      <c r="M110" t="s">
        <v>25</v>
      </c>
    </row>
    <row r="111" spans="1:13">
      <c r="A111" t="s">
        <v>195</v>
      </c>
      <c r="B111" s="13" t="s">
        <v>196</v>
      </c>
      <c r="C111" s="11">
        <v>0.20833333333333301</v>
      </c>
      <c r="D111" s="11">
        <v>0.33333333333333298</v>
      </c>
      <c r="E111" s="11">
        <f t="shared" si="95"/>
        <v>0.12499999999999997</v>
      </c>
      <c r="F111" s="25"/>
      <c r="G111" s="11"/>
      <c r="H111" s="11">
        <f t="shared" si="96"/>
        <v>0</v>
      </c>
      <c r="I111" s="17"/>
      <c r="J111" s="29"/>
      <c r="K111" s="11">
        <f t="shared" si="97"/>
        <v>0</v>
      </c>
      <c r="L111" s="11">
        <f t="shared" si="98"/>
        <v>0.12499999999999997</v>
      </c>
    </row>
    <row r="112" spans="1:13">
      <c r="B112" s="13" t="s">
        <v>117</v>
      </c>
      <c r="C112" s="11"/>
      <c r="D112" s="11"/>
      <c r="E112" s="11">
        <f t="shared" si="95"/>
        <v>0</v>
      </c>
      <c r="F112" s="25">
        <v>0.70833333333333304</v>
      </c>
      <c r="G112" s="11">
        <v>0.75</v>
      </c>
      <c r="H112" s="11">
        <f t="shared" si="96"/>
        <v>4.1666666666666963E-2</v>
      </c>
      <c r="I112" s="17">
        <v>0.75</v>
      </c>
      <c r="J112" s="29">
        <v>1</v>
      </c>
      <c r="K112" s="11">
        <f t="shared" si="97"/>
        <v>0.25</v>
      </c>
      <c r="L112" s="11">
        <f t="shared" si="98"/>
        <v>0.29166666666666696</v>
      </c>
    </row>
    <row r="113" spans="2:13" ht="16.5" thickTop="1" thickBot="1">
      <c r="B113" s="13" t="s">
        <v>198</v>
      </c>
      <c r="C113" s="11">
        <v>0.20833333333333301</v>
      </c>
      <c r="D113" s="11">
        <v>0.33333333333333298</v>
      </c>
      <c r="E113" s="11">
        <f t="shared" ref="E113:E114" si="99">IF(D113&gt;C113,D113-C113,C113-D113)</f>
        <v>0.12499999999999997</v>
      </c>
      <c r="F113" s="25"/>
      <c r="G113" s="11"/>
      <c r="H113" s="11">
        <f t="shared" ref="H113:H114" si="100">IF(G113&gt;F113,G113-F113,F113-G113)</f>
        <v>0</v>
      </c>
      <c r="I113" s="17"/>
      <c r="J113" s="29"/>
      <c r="K113" s="11">
        <f t="shared" ref="K113:K114" si="101">IF(J113&gt;I113,J113-I113,I113-J113)</f>
        <v>0</v>
      </c>
      <c r="L113" s="11">
        <f t="shared" ref="L113" si="102">E113+H113+K113</f>
        <v>0.12499999999999997</v>
      </c>
    </row>
    <row r="114" spans="2:13" ht="16.5" thickTop="1" thickBot="1">
      <c r="B114" s="13" t="s">
        <v>197</v>
      </c>
      <c r="C114" s="55"/>
      <c r="D114" s="55"/>
      <c r="E114" s="55">
        <f t="shared" si="99"/>
        <v>0</v>
      </c>
      <c r="F114" s="55"/>
      <c r="G114" s="55"/>
      <c r="H114" s="55">
        <f t="shared" si="100"/>
        <v>0</v>
      </c>
      <c r="I114" s="57"/>
      <c r="J114" s="57"/>
      <c r="K114" s="55">
        <f t="shared" si="101"/>
        <v>0</v>
      </c>
      <c r="L114" s="11"/>
      <c r="M114" t="s">
        <v>25</v>
      </c>
    </row>
    <row r="115" spans="2:13" ht="16.5" thickTop="1" thickBot="1">
      <c r="E115" s="15">
        <f>SUM(E104:E114)</f>
        <v>0.79166666666666741</v>
      </c>
      <c r="H115" s="15">
        <f>SUM(H104:H114)</f>
        <v>0.29166666666666696</v>
      </c>
      <c r="K115" s="15">
        <f>SUM(K104:K114)</f>
        <v>0.75</v>
      </c>
      <c r="L115" s="15">
        <f>SUM(L104:L114)</f>
        <v>1.8333333333333344</v>
      </c>
    </row>
    <row r="118" spans="2:13">
      <c r="B118" s="10" t="s">
        <v>182</v>
      </c>
      <c r="C118" s="21">
        <f t="shared" ref="C118:C125" si="103">+L8+L24+L40+L56+L72+L88+L104</f>
        <v>1.9166666666666672</v>
      </c>
      <c r="E118" s="10"/>
      <c r="F118" s="21"/>
    </row>
    <row r="119" spans="2:13">
      <c r="B119" s="10" t="s">
        <v>184</v>
      </c>
      <c r="C119" s="21">
        <f t="shared" si="103"/>
        <v>0</v>
      </c>
      <c r="E119" s="10"/>
      <c r="F119" s="21"/>
    </row>
    <row r="120" spans="2:13">
      <c r="B120" s="10" t="s">
        <v>186</v>
      </c>
      <c r="C120" s="21">
        <f t="shared" si="103"/>
        <v>1.6666666666666654</v>
      </c>
      <c r="E120" s="10"/>
      <c r="F120" s="21"/>
    </row>
    <row r="121" spans="2:13">
      <c r="B121" s="10" t="s">
        <v>188</v>
      </c>
      <c r="C121" s="21">
        <f t="shared" si="103"/>
        <v>1.5416666666666679</v>
      </c>
      <c r="E121" s="10"/>
      <c r="F121" s="21"/>
    </row>
    <row r="122" spans="2:13">
      <c r="B122" s="10" t="s">
        <v>190</v>
      </c>
      <c r="C122" s="21">
        <f t="shared" si="103"/>
        <v>1.4166666666666679</v>
      </c>
      <c r="E122" s="10"/>
      <c r="F122" s="21"/>
    </row>
    <row r="123" spans="2:13">
      <c r="B123" s="10" t="s">
        <v>192</v>
      </c>
      <c r="C123" s="21">
        <f t="shared" si="103"/>
        <v>1.3750000000000009</v>
      </c>
      <c r="E123" s="10"/>
      <c r="F123" s="21"/>
    </row>
    <row r="124" spans="2:13">
      <c r="B124" s="13" t="s">
        <v>194</v>
      </c>
      <c r="C124" s="21">
        <f t="shared" si="103"/>
        <v>1.541666666666669</v>
      </c>
      <c r="E124" s="13"/>
      <c r="F124" s="21"/>
    </row>
    <row r="125" spans="2:13">
      <c r="B125" s="13" t="s">
        <v>196</v>
      </c>
      <c r="C125" s="21">
        <f t="shared" si="103"/>
        <v>1.4166666666666679</v>
      </c>
      <c r="E125" s="13"/>
      <c r="F125" s="21"/>
    </row>
    <row r="126" spans="2:13">
      <c r="B126" s="13" t="s">
        <v>199</v>
      </c>
      <c r="C126" s="21" t="e">
        <f>+#REF!+#REF!+#REF!+#REF!+#REF!+#REF!+#REF!</f>
        <v>#REF!</v>
      </c>
      <c r="E126" s="13"/>
      <c r="F126" s="21"/>
    </row>
  </sheetData>
  <mergeCells count="22">
    <mergeCell ref="C6:E6"/>
    <mergeCell ref="F6:H6"/>
    <mergeCell ref="I6:K6"/>
    <mergeCell ref="C22:E22"/>
    <mergeCell ref="F22:H22"/>
    <mergeCell ref="I22:K22"/>
    <mergeCell ref="C102:E102"/>
    <mergeCell ref="F102:H102"/>
    <mergeCell ref="I102:K102"/>
    <mergeCell ref="E2:I3"/>
    <mergeCell ref="C70:E70"/>
    <mergeCell ref="F70:H70"/>
    <mergeCell ref="I70:K70"/>
    <mergeCell ref="C86:E86"/>
    <mergeCell ref="F86:H86"/>
    <mergeCell ref="I86:K86"/>
    <mergeCell ref="C38:E38"/>
    <mergeCell ref="F38:H38"/>
    <mergeCell ref="I38:K38"/>
    <mergeCell ref="C54:E54"/>
    <mergeCell ref="F54:H54"/>
    <mergeCell ref="I54:K54"/>
  </mergeCells>
  <pageMargins left="0.7" right="0.7" top="0.75" bottom="0.28999999999999998" header="0.3" footer="0.3"/>
  <pageSetup paperSize="9" fitToHeight="0" orientation="landscape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2:M64"/>
  <sheetViews>
    <sheetView topLeftCell="A46" workbookViewId="0">
      <selection activeCell="G67" sqref="G67"/>
    </sheetView>
  </sheetViews>
  <sheetFormatPr defaultColWidth="11" defaultRowHeight="15"/>
  <sheetData>
    <row r="2" spans="1:13">
      <c r="E2" s="171" t="s">
        <v>200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201</v>
      </c>
      <c r="G5" s="5" t="s">
        <v>39</v>
      </c>
      <c r="H5" s="6">
        <f>+RECEPTION!H5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t="s">
        <v>202</v>
      </c>
      <c r="B8" s="10" t="s">
        <v>203</v>
      </c>
      <c r="C8" s="51"/>
      <c r="D8" s="51"/>
      <c r="E8" s="51">
        <f t="shared" ref="E8" si="0">IF(D8&gt;C8,D8-C8,C8-D8)</f>
        <v>0</v>
      </c>
      <c r="F8" s="51"/>
      <c r="G8" s="51"/>
      <c r="H8" s="19">
        <f t="shared" ref="H8" si="1">IF(G8&gt;F8,G8-F8,F8-G8)</f>
        <v>0</v>
      </c>
      <c r="I8" s="51"/>
      <c r="J8" s="51"/>
      <c r="K8" s="19">
        <f t="shared" ref="K8" si="2">IF(J8&gt;I8,J8-I8,I8-J8)</f>
        <v>0</v>
      </c>
      <c r="L8" s="11">
        <f t="shared" ref="L8" si="3">E8+H8+K8</f>
        <v>0</v>
      </c>
      <c r="M8" t="s">
        <v>25</v>
      </c>
    </row>
    <row r="9" spans="1:13" ht="16.5" thickTop="1" thickBot="1">
      <c r="A9" t="s">
        <v>204</v>
      </c>
      <c r="B9" s="13" t="s">
        <v>205</v>
      </c>
      <c r="C9" s="20">
        <v>0.29166666666666702</v>
      </c>
      <c r="D9" s="11">
        <v>0.5</v>
      </c>
      <c r="E9" s="11">
        <f t="shared" ref="E9:E10" si="4">IF(D9&gt;C9,D9-C9,C9-D9)</f>
        <v>0.20833333333333301</v>
      </c>
      <c r="F9" s="21">
        <v>0.52083333333333304</v>
      </c>
      <c r="G9" s="20">
        <v>0.66666666666666696</v>
      </c>
      <c r="H9" s="11">
        <f t="shared" ref="H9:H10" si="5">IF(G9&gt;F9,G9-F9,F9-G9)</f>
        <v>0.14583333333333301</v>
      </c>
      <c r="I9" s="21"/>
      <c r="J9" s="21"/>
      <c r="K9" s="11">
        <f t="shared" ref="K9:K10" si="6">IF(J9&gt;I9,J9-I9,I9-J9)</f>
        <v>0</v>
      </c>
      <c r="L9" s="11">
        <f t="shared" ref="L9:L10" si="7">E9+H9+K9</f>
        <v>0.35416666666666702</v>
      </c>
    </row>
    <row r="10" spans="1:13" ht="16.5" thickTop="1" thickBot="1">
      <c r="A10" t="s">
        <v>206</v>
      </c>
      <c r="B10" s="13" t="s">
        <v>207</v>
      </c>
      <c r="C10" s="20">
        <v>0.33333333333333298</v>
      </c>
      <c r="D10" s="11">
        <v>0.5</v>
      </c>
      <c r="E10" s="11">
        <f t="shared" si="4"/>
        <v>0.16666666666666702</v>
      </c>
      <c r="F10" s="21">
        <v>0.64583333333333304</v>
      </c>
      <c r="G10" s="20">
        <v>0.79166666666666696</v>
      </c>
      <c r="H10" s="11">
        <f t="shared" si="5"/>
        <v>0.14583333333333393</v>
      </c>
      <c r="I10" s="21"/>
      <c r="J10" s="21"/>
      <c r="K10" s="11">
        <f t="shared" si="6"/>
        <v>0</v>
      </c>
      <c r="L10" s="11">
        <f t="shared" si="7"/>
        <v>0.31250000000000094</v>
      </c>
      <c r="M10" t="s">
        <v>25</v>
      </c>
    </row>
    <row r="11" spans="1:13" s="50" customFormat="1" ht="16.5" thickTop="1" thickBot="1">
      <c r="E11" s="52">
        <f>SUM(E8:E10)</f>
        <v>0.375</v>
      </c>
      <c r="H11" s="52">
        <f>SUM(H8:H10)</f>
        <v>0.29166666666666696</v>
      </c>
      <c r="K11" s="52">
        <f>SUM(K8:K10)</f>
        <v>0</v>
      </c>
      <c r="L11" s="15">
        <f>SUM(L8:L10)</f>
        <v>0.66666666666666796</v>
      </c>
    </row>
    <row r="13" spans="1:13">
      <c r="C13" s="2" t="s">
        <v>201</v>
      </c>
      <c r="G13" s="5" t="s">
        <v>32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t="s">
        <v>202</v>
      </c>
      <c r="B16" s="10" t="s">
        <v>203</v>
      </c>
      <c r="C16" s="51"/>
      <c r="D16" s="51"/>
      <c r="E16" s="51">
        <f t="shared" ref="E16:E18" si="8">IF(D16&gt;C16,D16-C16,C16-D16)</f>
        <v>0</v>
      </c>
      <c r="F16" s="51"/>
      <c r="G16" s="51"/>
      <c r="H16" s="19">
        <f t="shared" ref="H16:H18" si="9">IF(G16&gt;F16,G16-F16,F16-G16)</f>
        <v>0</v>
      </c>
      <c r="I16" s="51"/>
      <c r="J16" s="51"/>
      <c r="K16" s="19">
        <f t="shared" ref="K16:K18" si="10">IF(J16&gt;I16,J16-I16,I16-J16)</f>
        <v>0</v>
      </c>
      <c r="L16" s="11">
        <f t="shared" ref="L16:L18" si="11">E16+H16+K16</f>
        <v>0</v>
      </c>
      <c r="M16" t="s">
        <v>25</v>
      </c>
    </row>
    <row r="17" spans="1:13">
      <c r="A17" t="s">
        <v>204</v>
      </c>
      <c r="B17" s="13" t="s">
        <v>205</v>
      </c>
      <c r="C17" s="20">
        <v>0.29166666666666702</v>
      </c>
      <c r="D17" s="11">
        <v>0.5</v>
      </c>
      <c r="E17" s="11">
        <f t="shared" si="8"/>
        <v>0.20833333333333298</v>
      </c>
      <c r="F17" s="21">
        <v>0.52083333333333304</v>
      </c>
      <c r="G17" s="20">
        <v>0.66666666666666696</v>
      </c>
      <c r="H17" s="11">
        <f t="shared" si="9"/>
        <v>0.14583333333333393</v>
      </c>
      <c r="I17" s="21"/>
      <c r="J17" s="21"/>
      <c r="K17" s="11">
        <f t="shared" si="10"/>
        <v>0</v>
      </c>
      <c r="L17" s="11">
        <f t="shared" si="11"/>
        <v>0.35416666666666691</v>
      </c>
    </row>
    <row r="18" spans="1:13">
      <c r="A18" t="s">
        <v>206</v>
      </c>
      <c r="B18" s="13" t="s">
        <v>207</v>
      </c>
      <c r="C18" s="20">
        <v>0.33333333333333298</v>
      </c>
      <c r="D18" s="11">
        <v>0.5</v>
      </c>
      <c r="E18" s="11">
        <f t="shared" si="8"/>
        <v>0.16666666666666702</v>
      </c>
      <c r="F18" s="21">
        <v>0.64583333333333304</v>
      </c>
      <c r="G18" s="20">
        <v>0.79166666666666696</v>
      </c>
      <c r="H18" s="11">
        <f t="shared" si="9"/>
        <v>0.14583333333333393</v>
      </c>
      <c r="I18" s="21"/>
      <c r="J18" s="21"/>
      <c r="K18" s="11">
        <f t="shared" si="10"/>
        <v>0</v>
      </c>
      <c r="L18" s="11">
        <f t="shared" si="11"/>
        <v>0.31250000000000094</v>
      </c>
    </row>
    <row r="19" spans="1:13" s="50" customFormat="1">
      <c r="E19" s="52">
        <f>SUM(E16:E18)</f>
        <v>0.375</v>
      </c>
      <c r="H19" s="52">
        <f>SUM(H16:H18)</f>
        <v>0.29166666666666785</v>
      </c>
      <c r="K19" s="52">
        <f>SUM(K16:K18)</f>
        <v>0</v>
      </c>
      <c r="L19" s="15">
        <f>SUM(L16:L18)</f>
        <v>0.66666666666666785</v>
      </c>
    </row>
    <row r="21" spans="1:13">
      <c r="C21" s="2" t="s">
        <v>201</v>
      </c>
      <c r="G21" s="5" t="s">
        <v>34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t="s">
        <v>202</v>
      </c>
      <c r="B24" s="10" t="s">
        <v>203</v>
      </c>
      <c r="C24" s="51"/>
      <c r="D24" s="51"/>
      <c r="E24" s="51">
        <f t="shared" ref="E24" si="12">IF(D24&gt;C24,D24-C24,C24-D24)</f>
        <v>0</v>
      </c>
      <c r="F24" s="51"/>
      <c r="G24" s="51"/>
      <c r="H24" s="19">
        <f t="shared" ref="H24" si="13">IF(G24&gt;F24,G24-F24,F24-G24)</f>
        <v>0</v>
      </c>
      <c r="I24" s="51"/>
      <c r="J24" s="51"/>
      <c r="K24" s="19">
        <f t="shared" ref="K24" si="14">IF(J24&gt;I24,J24-I24,I24-J24)</f>
        <v>0</v>
      </c>
      <c r="L24" s="11">
        <f t="shared" ref="L24" si="15">E24+H24+K24</f>
        <v>0</v>
      </c>
      <c r="M24" t="s">
        <v>25</v>
      </c>
    </row>
    <row r="25" spans="1:13" ht="16.5" thickTop="1" thickBot="1">
      <c r="A25" t="s">
        <v>204</v>
      </c>
      <c r="B25" s="13" t="s">
        <v>205</v>
      </c>
      <c r="C25" s="20">
        <v>0.3125</v>
      </c>
      <c r="D25" s="11">
        <v>0.5</v>
      </c>
      <c r="E25" s="11">
        <f t="shared" ref="E25:E26" si="16">IF(D25&gt;C25,D25-C25,C25-D25)</f>
        <v>0.1875</v>
      </c>
      <c r="F25" s="21">
        <v>0.52083333333333304</v>
      </c>
      <c r="G25" s="20">
        <v>0.66666666666666696</v>
      </c>
      <c r="H25" s="11">
        <f t="shared" ref="H25:H26" si="17">IF(G25&gt;F25,G25-F25,F25-G25)</f>
        <v>0.14583333333333301</v>
      </c>
      <c r="I25" s="21"/>
      <c r="J25" s="21"/>
      <c r="K25" s="11">
        <f t="shared" ref="K25:K26" si="18">IF(J25&gt;I25,J25-I25,I25-J25)</f>
        <v>0</v>
      </c>
      <c r="L25" s="11">
        <f t="shared" ref="L25:L26" si="19">E25+H25+K25</f>
        <v>0.33333333333333298</v>
      </c>
    </row>
    <row r="26" spans="1:13" ht="16.5" thickTop="1" thickBot="1">
      <c r="A26" t="s">
        <v>206</v>
      </c>
      <c r="B26" s="13" t="s">
        <v>207</v>
      </c>
      <c r="C26" s="51"/>
      <c r="D26" s="51"/>
      <c r="E26" s="51">
        <f t="shared" si="16"/>
        <v>0</v>
      </c>
      <c r="F26" s="51"/>
      <c r="G26" s="51"/>
      <c r="H26" s="19">
        <f t="shared" si="17"/>
        <v>0</v>
      </c>
      <c r="I26" s="51"/>
      <c r="J26" s="51"/>
      <c r="K26" s="19">
        <f t="shared" si="18"/>
        <v>0</v>
      </c>
      <c r="L26" s="11">
        <f t="shared" si="19"/>
        <v>0</v>
      </c>
      <c r="M26" t="s">
        <v>25</v>
      </c>
    </row>
    <row r="27" spans="1:13" s="50" customFormat="1" ht="16.5" thickTop="1" thickBot="1">
      <c r="E27" s="52">
        <f>SUM(E24:E26)</f>
        <v>0.1875</v>
      </c>
      <c r="H27" s="52">
        <f>SUM(H24:H26)</f>
        <v>0.14583333333333301</v>
      </c>
      <c r="K27" s="52">
        <f>SUM(K24:K26)</f>
        <v>0</v>
      </c>
      <c r="L27" s="15">
        <f>SUM(L24:L26)</f>
        <v>0.33333333333333298</v>
      </c>
    </row>
    <row r="29" spans="1:13">
      <c r="C29" s="2" t="s">
        <v>201</v>
      </c>
      <c r="G29" s="5" t="s">
        <v>35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t="s">
        <v>202</v>
      </c>
      <c r="B32" s="10" t="s">
        <v>203</v>
      </c>
      <c r="C32" s="51"/>
      <c r="D32" s="51"/>
      <c r="E32" s="51">
        <f t="shared" ref="E32:E34" si="20">IF(D32&gt;C32,D32-C32,C32-D32)</f>
        <v>0</v>
      </c>
      <c r="F32" s="51"/>
      <c r="G32" s="51"/>
      <c r="H32" s="19">
        <f t="shared" ref="H32:H34" si="21">IF(G32&gt;F32,G32-F32,F32-G32)</f>
        <v>0</v>
      </c>
      <c r="I32" s="51"/>
      <c r="J32" s="51"/>
      <c r="K32" s="19">
        <f t="shared" ref="K32:K34" si="22">IF(J32&gt;I32,J32-I32,I32-J32)</f>
        <v>0</v>
      </c>
      <c r="L32" s="11">
        <f t="shared" ref="L32:L34" si="23">E32+H32+K32</f>
        <v>0</v>
      </c>
      <c r="M32" t="s">
        <v>25</v>
      </c>
    </row>
    <row r="33" spans="1:13">
      <c r="A33" t="s">
        <v>204</v>
      </c>
      <c r="B33" s="13" t="s">
        <v>205</v>
      </c>
      <c r="C33" s="20">
        <v>0.29166666666666702</v>
      </c>
      <c r="D33" s="11">
        <v>0.5</v>
      </c>
      <c r="E33" s="11">
        <f t="shared" si="20"/>
        <v>0.20833333333333298</v>
      </c>
      <c r="F33" s="21">
        <v>0.52083333333333304</v>
      </c>
      <c r="G33" s="20">
        <v>0.66666666666666696</v>
      </c>
      <c r="H33" s="11">
        <f t="shared" si="21"/>
        <v>0.14583333333333393</v>
      </c>
      <c r="I33" s="21"/>
      <c r="J33" s="21"/>
      <c r="K33" s="11">
        <f t="shared" si="22"/>
        <v>0</v>
      </c>
      <c r="L33" s="11">
        <f t="shared" si="23"/>
        <v>0.35416666666666691</v>
      </c>
    </row>
    <row r="34" spans="1:13">
      <c r="A34" t="s">
        <v>206</v>
      </c>
      <c r="B34" s="13" t="s">
        <v>207</v>
      </c>
      <c r="C34" s="20">
        <v>0.33333333333333298</v>
      </c>
      <c r="D34" s="11">
        <v>0.5</v>
      </c>
      <c r="E34" s="11">
        <f t="shared" si="20"/>
        <v>0.16666666666666702</v>
      </c>
      <c r="F34" s="21">
        <v>0.64583333333333304</v>
      </c>
      <c r="G34" s="20">
        <v>0.79166666666666696</v>
      </c>
      <c r="H34" s="11">
        <f t="shared" si="21"/>
        <v>0.14583333333333393</v>
      </c>
      <c r="I34" s="21"/>
      <c r="J34" s="21"/>
      <c r="K34" s="11">
        <f t="shared" si="22"/>
        <v>0</v>
      </c>
      <c r="L34" s="11">
        <f t="shared" si="23"/>
        <v>0.31250000000000094</v>
      </c>
    </row>
    <row r="35" spans="1:13" s="50" customFormat="1">
      <c r="E35" s="52">
        <f>SUM(E32:E34)</f>
        <v>0.375</v>
      </c>
      <c r="H35" s="52">
        <f>SUM(H32:H34)</f>
        <v>0.29166666666666785</v>
      </c>
      <c r="K35" s="52">
        <f>SUM(K32:K34)</f>
        <v>0</v>
      </c>
      <c r="L35" s="15">
        <f>SUM(L32:L34)</f>
        <v>0.66666666666666785</v>
      </c>
    </row>
    <row r="37" spans="1:13">
      <c r="C37" s="2" t="s">
        <v>201</v>
      </c>
      <c r="G37" s="5" t="s">
        <v>36</v>
      </c>
      <c r="H37" s="6">
        <f>+H29+1</f>
        <v>46248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 ht="16.5" thickTop="1" thickBot="1">
      <c r="A40" t="s">
        <v>202</v>
      </c>
      <c r="B40" s="10" t="s">
        <v>203</v>
      </c>
      <c r="C40" s="51"/>
      <c r="D40" s="51"/>
      <c r="E40" s="51">
        <f t="shared" ref="E40:E42" si="24">IF(D40&gt;C40,D40-C40,C40-D40)</f>
        <v>0</v>
      </c>
      <c r="F40" s="51"/>
      <c r="G40" s="51"/>
      <c r="H40" s="19">
        <f t="shared" ref="H40:H42" si="25">IF(G40&gt;F40,G40-F40,F40-G40)</f>
        <v>0</v>
      </c>
      <c r="I40" s="51"/>
      <c r="J40" s="51"/>
      <c r="K40" s="19">
        <f t="shared" ref="K40:K42" si="26">IF(J40&gt;I40,J40-I40,I40-J40)</f>
        <v>0</v>
      </c>
      <c r="L40" s="11">
        <f t="shared" ref="L40:L42" si="27">E40+H40+K40</f>
        <v>0</v>
      </c>
      <c r="M40" t="s">
        <v>25</v>
      </c>
    </row>
    <row r="41" spans="1:13" ht="16.5" thickTop="1" thickBot="1">
      <c r="A41" t="s">
        <v>204</v>
      </c>
      <c r="B41" s="13" t="s">
        <v>205</v>
      </c>
      <c r="C41" s="20">
        <v>0.29166666666666702</v>
      </c>
      <c r="D41" s="11">
        <v>0.5</v>
      </c>
      <c r="E41" s="11">
        <f t="shared" si="24"/>
        <v>0.20833333333333298</v>
      </c>
      <c r="F41" s="21">
        <v>0.52083333333333304</v>
      </c>
      <c r="G41" s="20">
        <v>0.66666666666666696</v>
      </c>
      <c r="H41" s="11">
        <f t="shared" si="25"/>
        <v>0.14583333333333393</v>
      </c>
      <c r="I41" s="21"/>
      <c r="J41" s="21"/>
      <c r="K41" s="11">
        <f t="shared" si="26"/>
        <v>0</v>
      </c>
      <c r="L41" s="11">
        <f t="shared" si="27"/>
        <v>0.35416666666666691</v>
      </c>
      <c r="M41" t="s">
        <v>25</v>
      </c>
    </row>
    <row r="42" spans="1:13" ht="16.5" thickTop="1" thickBot="1">
      <c r="A42" t="s">
        <v>206</v>
      </c>
      <c r="B42" s="13" t="s">
        <v>207</v>
      </c>
      <c r="C42" s="20">
        <v>0.33333333333333298</v>
      </c>
      <c r="D42" s="11">
        <v>0.5</v>
      </c>
      <c r="E42" s="11">
        <f t="shared" si="24"/>
        <v>0.16666666666666702</v>
      </c>
      <c r="F42" s="21">
        <v>0.64583333333333304</v>
      </c>
      <c r="G42" s="20">
        <v>0.79166666666666696</v>
      </c>
      <c r="H42" s="11">
        <f t="shared" si="25"/>
        <v>0.14583333333333393</v>
      </c>
      <c r="I42" s="21"/>
      <c r="J42" s="21"/>
      <c r="K42" s="11">
        <f t="shared" si="26"/>
        <v>0</v>
      </c>
      <c r="L42" s="11">
        <f t="shared" si="27"/>
        <v>0.31250000000000094</v>
      </c>
    </row>
    <row r="43" spans="1:13" s="50" customFormat="1" ht="16.5" thickTop="1" thickBot="1">
      <c r="E43" s="52">
        <f>SUM(E40:E42)</f>
        <v>0.375</v>
      </c>
      <c r="H43" s="52">
        <f>SUM(H40:H42)</f>
        <v>0.29166666666666785</v>
      </c>
      <c r="K43" s="52">
        <f>SUM(K40:K42)</f>
        <v>0</v>
      </c>
      <c r="L43" s="15">
        <f>SUM(L40:L42)</f>
        <v>0.66666666666666785</v>
      </c>
    </row>
    <row r="45" spans="1:13">
      <c r="C45" s="2" t="s">
        <v>201</v>
      </c>
      <c r="G45" s="5" t="s">
        <v>37</v>
      </c>
      <c r="H45" s="6">
        <f>+H37+1</f>
        <v>46249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 ht="16.5" thickTop="1" thickBot="1">
      <c r="A48" t="s">
        <v>202</v>
      </c>
      <c r="B48" s="10" t="s">
        <v>203</v>
      </c>
      <c r="C48" s="51"/>
      <c r="D48" s="51"/>
      <c r="E48" s="51">
        <f t="shared" ref="E48:E50" si="28">IF(D48&gt;C48,D48-C48,C48-D48)</f>
        <v>0</v>
      </c>
      <c r="F48" s="51"/>
      <c r="G48" s="51"/>
      <c r="H48" s="19">
        <f t="shared" ref="H48:H50" si="29">IF(G48&gt;F48,G48-F48,F48-G48)</f>
        <v>0</v>
      </c>
      <c r="I48" s="51"/>
      <c r="J48" s="51"/>
      <c r="K48" s="19">
        <f t="shared" ref="K48:K50" si="30">IF(J48&gt;I48,J48-I48,I48-J48)</f>
        <v>0</v>
      </c>
      <c r="L48" s="11">
        <f t="shared" ref="L48:L50" si="31">E48+H48+K48</f>
        <v>0</v>
      </c>
      <c r="M48" t="s">
        <v>25</v>
      </c>
    </row>
    <row r="49" spans="1:13" ht="16.5" thickTop="1" thickBot="1">
      <c r="A49" t="s">
        <v>204</v>
      </c>
      <c r="B49" s="13" t="s">
        <v>205</v>
      </c>
      <c r="C49" s="51"/>
      <c r="D49" s="51"/>
      <c r="E49" s="51">
        <f t="shared" ref="E49" si="32">IF(D49&gt;C49,D49-C49,C49-D49)</f>
        <v>0</v>
      </c>
      <c r="F49" s="51"/>
      <c r="G49" s="51"/>
      <c r="H49" s="19">
        <f t="shared" ref="H49" si="33">IF(G49&gt;F49,G49-F49,F49-G49)</f>
        <v>0</v>
      </c>
      <c r="I49" s="51"/>
      <c r="J49" s="51"/>
      <c r="K49" s="19">
        <f t="shared" ref="K49" si="34">IF(J49&gt;I49,J49-I49,I49-J49)</f>
        <v>0</v>
      </c>
      <c r="L49" s="11">
        <f t="shared" ref="L49" si="35">E49+H49+K49</f>
        <v>0</v>
      </c>
      <c r="M49" t="s">
        <v>25</v>
      </c>
    </row>
    <row r="50" spans="1:13" ht="16.5" thickTop="1" thickBot="1">
      <c r="A50" t="s">
        <v>206</v>
      </c>
      <c r="B50" s="13" t="s">
        <v>207</v>
      </c>
      <c r="C50" s="20">
        <v>0.33333333333333298</v>
      </c>
      <c r="D50" s="11">
        <v>0.5</v>
      </c>
      <c r="E50" s="11">
        <f t="shared" si="28"/>
        <v>0.16666666666666702</v>
      </c>
      <c r="F50" s="21">
        <v>0.64583333333333304</v>
      </c>
      <c r="G50" s="20">
        <v>0.79166666666666663</v>
      </c>
      <c r="H50" s="11">
        <f t="shared" si="29"/>
        <v>0.14583333333333359</v>
      </c>
      <c r="I50" s="21"/>
      <c r="J50" s="21"/>
      <c r="K50" s="11">
        <f t="shared" si="30"/>
        <v>0</v>
      </c>
      <c r="L50" s="11">
        <f t="shared" si="31"/>
        <v>0.31250000000000061</v>
      </c>
    </row>
    <row r="51" spans="1:13" s="50" customFormat="1" ht="16.5" thickTop="1" thickBot="1">
      <c r="E51" s="52">
        <f>SUM(E48:E50)</f>
        <v>0.16666666666666702</v>
      </c>
      <c r="H51" s="52">
        <f>SUM(H48:H50)</f>
        <v>0.14583333333333359</v>
      </c>
      <c r="K51" s="52">
        <f>SUM(K48:K50)</f>
        <v>0</v>
      </c>
      <c r="L51" s="15">
        <f>SUM(L48:L50)</f>
        <v>0.31250000000000061</v>
      </c>
    </row>
    <row r="53" spans="1:13">
      <c r="C53" s="2" t="s">
        <v>201</v>
      </c>
      <c r="G53" s="5" t="s">
        <v>38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t="s">
        <v>202</v>
      </c>
      <c r="B56" s="10" t="s">
        <v>203</v>
      </c>
      <c r="C56" s="19"/>
      <c r="D56" s="19"/>
      <c r="E56" s="19">
        <f>IF(D56&gt;C56,D56-C56,C56-D56)</f>
        <v>0</v>
      </c>
      <c r="F56" s="19"/>
      <c r="G56" s="19"/>
      <c r="H56" s="19">
        <f>IF(G56&gt;F56,G56-F56,F56-G56)</f>
        <v>0</v>
      </c>
      <c r="I56" s="22"/>
      <c r="J56" s="22"/>
      <c r="K56" s="19">
        <f>IF(J56&gt;I56,J56-I56,I56-J56)</f>
        <v>0</v>
      </c>
      <c r="L56" s="11">
        <f>E56+H56+K56</f>
        <v>0</v>
      </c>
      <c r="M56" t="s">
        <v>25</v>
      </c>
    </row>
    <row r="57" spans="1:13">
      <c r="A57" t="s">
        <v>204</v>
      </c>
      <c r="B57" s="13" t="s">
        <v>205</v>
      </c>
      <c r="C57" s="20">
        <v>0.29166666666666702</v>
      </c>
      <c r="D57" s="11">
        <v>0.5</v>
      </c>
      <c r="E57" s="11">
        <f t="shared" ref="E57:E58" si="36">IF(D57&gt;C57,D57-C57,C57-D57)</f>
        <v>0.20833333333333298</v>
      </c>
      <c r="F57" s="21">
        <v>0.52083333333333304</v>
      </c>
      <c r="G57" s="20">
        <v>0.66666666666666696</v>
      </c>
      <c r="H57" s="11">
        <f t="shared" ref="H57:H58" si="37">IF(G57&gt;F57,G57-F57,F57-G57)</f>
        <v>0.14583333333333393</v>
      </c>
      <c r="I57" s="21"/>
      <c r="J57" s="21"/>
      <c r="K57" s="11">
        <f t="shared" ref="K57:K58" si="38">IF(J57&gt;I57,J57-I57,I57-J57)</f>
        <v>0</v>
      </c>
      <c r="L57" s="11">
        <f t="shared" ref="L57:L58" si="39">E57+H57+K57</f>
        <v>0.35416666666666691</v>
      </c>
    </row>
    <row r="58" spans="1:13">
      <c r="A58" t="s">
        <v>206</v>
      </c>
      <c r="B58" s="13" t="s">
        <v>207</v>
      </c>
      <c r="C58" s="20">
        <v>0.33333333333333298</v>
      </c>
      <c r="D58" s="11">
        <v>0.5</v>
      </c>
      <c r="E58" s="11">
        <f t="shared" si="36"/>
        <v>0.16666666666666702</v>
      </c>
      <c r="F58" s="21">
        <v>0.64583333333333304</v>
      </c>
      <c r="G58" s="20">
        <v>0.70833333333333337</v>
      </c>
      <c r="H58" s="11">
        <f t="shared" si="37"/>
        <v>6.2500000000000333E-2</v>
      </c>
      <c r="I58" s="21"/>
      <c r="J58" s="21"/>
      <c r="K58" s="11">
        <f t="shared" si="38"/>
        <v>0</v>
      </c>
      <c r="L58" s="11">
        <f t="shared" si="39"/>
        <v>0.22916666666666735</v>
      </c>
    </row>
    <row r="59" spans="1:13" s="50" customFormat="1">
      <c r="E59" s="52">
        <f>SUM(E56:E58)</f>
        <v>0.375</v>
      </c>
      <c r="H59" s="52">
        <f>SUM(H56:H58)</f>
        <v>0.20833333333333426</v>
      </c>
      <c r="K59" s="52">
        <f>SUM(K56:K58)</f>
        <v>0</v>
      </c>
      <c r="L59" s="15">
        <f>SUM(L56:L58)</f>
        <v>0.58333333333333426</v>
      </c>
    </row>
    <row r="62" spans="1:13">
      <c r="B62" s="10" t="s">
        <v>203</v>
      </c>
      <c r="C62" s="21">
        <f>+L8+L16+L24+L32+L40+L48+L56</f>
        <v>0</v>
      </c>
    </row>
    <row r="63" spans="1:13">
      <c r="B63" s="13" t="s">
        <v>205</v>
      </c>
      <c r="C63" s="21">
        <f t="shared" ref="C63:C64" si="40">+L9+L17+L25+L33+L41+L49+L57</f>
        <v>2.1041666666666679</v>
      </c>
    </row>
    <row r="64" spans="1:13">
      <c r="B64" s="13" t="s">
        <v>207</v>
      </c>
      <c r="C64" s="21">
        <f t="shared" si="40"/>
        <v>1.7916666666666718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2:M63"/>
  <sheetViews>
    <sheetView workbookViewId="0">
      <selection activeCell="E2" sqref="E2:I3"/>
    </sheetView>
  </sheetViews>
  <sheetFormatPr defaultColWidth="11" defaultRowHeight="15"/>
  <cols>
    <col min="1" max="1" width="11.5703125" style="3"/>
    <col min="2" max="2" width="13.5703125" customWidth="1"/>
  </cols>
  <sheetData>
    <row r="2" spans="1:13">
      <c r="E2" s="171" t="s">
        <v>327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208</v>
      </c>
      <c r="G5" s="5" t="str">
        <f>+GOUVERNANTE!G5</f>
        <v>LUNDI</v>
      </c>
      <c r="H5" s="6">
        <f>+GOUVERNANTE!H5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209</v>
      </c>
      <c r="B8" s="10" t="s">
        <v>210</v>
      </c>
      <c r="C8" s="25">
        <v>0.25</v>
      </c>
      <c r="D8" s="11">
        <v>0.5</v>
      </c>
      <c r="E8" s="11">
        <f t="shared" ref="E8:E10" si="0">IF(D8&gt;C8,D8-C8,C8-D8)</f>
        <v>0.25</v>
      </c>
      <c r="F8" s="11">
        <v>0.5</v>
      </c>
      <c r="G8" s="25">
        <v>0.58333333333333304</v>
      </c>
      <c r="H8" s="11">
        <f>IF(G8&gt;F8,G8-F8,F8-G8)</f>
        <v>8.3333333333333037E-2</v>
      </c>
      <c r="I8" s="17"/>
      <c r="J8" s="17"/>
      <c r="K8" s="11">
        <f>IF(J8&gt;I8,J8-I8,I8-J8)</f>
        <v>0</v>
      </c>
      <c r="L8" s="11">
        <f>E8+H8+K8</f>
        <v>0.33333333333333304</v>
      </c>
    </row>
    <row r="9" spans="1:13">
      <c r="A9" s="3" t="s">
        <v>211</v>
      </c>
      <c r="B9" s="10" t="s">
        <v>212</v>
      </c>
      <c r="C9" s="25"/>
      <c r="D9" s="11"/>
      <c r="E9" s="11">
        <f t="shared" si="0"/>
        <v>0</v>
      </c>
      <c r="F9" s="11">
        <v>0.625</v>
      </c>
      <c r="G9" s="25">
        <v>0.75</v>
      </c>
      <c r="H9" s="11">
        <f>IF(G9&gt;F9,G9-F9,F9-G9)</f>
        <v>0.125</v>
      </c>
      <c r="I9" s="17">
        <v>0.75</v>
      </c>
      <c r="J9" s="17">
        <v>0.91666666666666696</v>
      </c>
      <c r="K9" s="11">
        <f>IF(J9&gt;I9,J9-I9,I9-J9)</f>
        <v>0.16666666666666696</v>
      </c>
      <c r="L9" s="11">
        <f>E9+H9+K9</f>
        <v>0.29166666666666696</v>
      </c>
    </row>
    <row r="10" spans="1:13">
      <c r="A10" s="3" t="s">
        <v>213</v>
      </c>
      <c r="B10" s="10" t="s">
        <v>214</v>
      </c>
      <c r="C10" s="25">
        <v>0.3125</v>
      </c>
      <c r="D10" s="11">
        <v>0.5</v>
      </c>
      <c r="E10" s="11">
        <f t="shared" si="0"/>
        <v>0.1875</v>
      </c>
      <c r="F10" s="11">
        <v>0.5</v>
      </c>
      <c r="G10" s="25">
        <v>0.64583333333333304</v>
      </c>
      <c r="H10" s="11">
        <f>IF(G10&gt;F10,G10-F10,F10-G10)</f>
        <v>0.14583333333333304</v>
      </c>
      <c r="I10" s="17"/>
      <c r="J10" s="17"/>
      <c r="K10" s="11">
        <f>IF(J10&gt;I10,J10-I10,I10-J10)</f>
        <v>0</v>
      </c>
      <c r="L10" s="11">
        <f>E10+H10+K10</f>
        <v>0.33333333333333304</v>
      </c>
      <c r="M10" t="s">
        <v>25</v>
      </c>
    </row>
    <row r="11" spans="1:13" s="46" customFormat="1">
      <c r="A11" s="47"/>
      <c r="E11" s="48">
        <f>SUM(E8:E10)</f>
        <v>0.4375</v>
      </c>
      <c r="H11" s="48">
        <f>SUM(H8:H10)</f>
        <v>0.35416666666666607</v>
      </c>
      <c r="K11" s="48">
        <f>SUM(K8:K10)</f>
        <v>0.16666666666666696</v>
      </c>
      <c r="L11" s="15">
        <f>SUM(L8:L10)</f>
        <v>0.95833333333333304</v>
      </c>
    </row>
    <row r="13" spans="1:13">
      <c r="C13" s="2" t="s">
        <v>208</v>
      </c>
      <c r="G13" s="5" t="str">
        <f>+GOUVERNANTE!G13</f>
        <v>MARDI</v>
      </c>
      <c r="H13" s="6">
        <f>+H5+1</f>
        <v>46245</v>
      </c>
    </row>
    <row r="14" spans="1:13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13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13">
      <c r="A16" s="3" t="s">
        <v>209</v>
      </c>
      <c r="B16" s="10" t="s">
        <v>210</v>
      </c>
      <c r="C16" s="25">
        <v>0.25</v>
      </c>
      <c r="D16" s="11">
        <v>0.5</v>
      </c>
      <c r="E16" s="11">
        <f t="shared" ref="E16:E17" si="1">IF(D16&gt;C16,D16-C16,C16-D16)</f>
        <v>0.25</v>
      </c>
      <c r="F16" s="11">
        <v>0.5</v>
      </c>
      <c r="G16" s="25">
        <v>0.58333333333333304</v>
      </c>
      <c r="H16" s="11">
        <f>IF(G16&gt;F16,G16-F16,F16-G16)</f>
        <v>8.3333333333333037E-2</v>
      </c>
      <c r="I16" s="17"/>
      <c r="J16" s="17"/>
      <c r="K16" s="11">
        <f>IF(J16&gt;I16,J16-I16,I16-J16)</f>
        <v>0</v>
      </c>
      <c r="L16" s="11">
        <f>E16+H16+K16</f>
        <v>0.33333333333333304</v>
      </c>
    </row>
    <row r="17" spans="1:13">
      <c r="A17" s="3" t="s">
        <v>211</v>
      </c>
      <c r="B17" s="10" t="s">
        <v>212</v>
      </c>
      <c r="C17" s="25"/>
      <c r="D17" s="11"/>
      <c r="E17" s="11">
        <f t="shared" si="1"/>
        <v>0</v>
      </c>
      <c r="F17" s="11">
        <v>0.58333333333333337</v>
      </c>
      <c r="G17" s="25">
        <v>0.75</v>
      </c>
      <c r="H17" s="11">
        <f>IF(G17&gt;F17,G17-F17,F17-G17)</f>
        <v>0.16666666666666663</v>
      </c>
      <c r="I17" s="17">
        <v>0.75</v>
      </c>
      <c r="J17" s="17">
        <v>0.91666666666666696</v>
      </c>
      <c r="K17" s="11">
        <f>IF(J17&gt;I17,J17-I17,I17-J17)</f>
        <v>0.16666666666666696</v>
      </c>
      <c r="L17" s="11">
        <f>E17+H17+K17</f>
        <v>0.33333333333333359</v>
      </c>
      <c r="M17" t="s">
        <v>25</v>
      </c>
    </row>
    <row r="18" spans="1:13">
      <c r="A18" s="3" t="s">
        <v>213</v>
      </c>
      <c r="B18" s="10" t="s">
        <v>214</v>
      </c>
      <c r="C18" s="19"/>
      <c r="D18" s="19"/>
      <c r="E18" s="19">
        <f t="shared" ref="E18" si="2">IF(D18&gt;C18,D18-C18,C18-D18)</f>
        <v>0</v>
      </c>
      <c r="F18" s="19"/>
      <c r="G18" s="19"/>
      <c r="H18" s="19">
        <f>IF(G18&gt;F18,G18-F18,F18-G18)</f>
        <v>0</v>
      </c>
      <c r="I18" s="22"/>
      <c r="J18" s="22"/>
      <c r="K18" s="19">
        <f>IF(J18&gt;I18,J18-I18,I18-J18)</f>
        <v>0</v>
      </c>
      <c r="L18" s="11">
        <f>E18+H18+K18</f>
        <v>0</v>
      </c>
      <c r="M18" t="s">
        <v>25</v>
      </c>
    </row>
    <row r="19" spans="1:13" s="46" customFormat="1">
      <c r="A19" s="47"/>
      <c r="E19" s="48">
        <f>SUM(E16:E18)</f>
        <v>0.25</v>
      </c>
      <c r="H19" s="48">
        <f>SUM(H16:H18)</f>
        <v>0.24999999999999967</v>
      </c>
      <c r="K19" s="48">
        <f>SUM(K16:K18)</f>
        <v>0.16666666666666696</v>
      </c>
      <c r="L19" s="15">
        <f>SUM(L16:L18)</f>
        <v>0.66666666666666663</v>
      </c>
    </row>
    <row r="21" spans="1:13">
      <c r="C21" s="2" t="s">
        <v>208</v>
      </c>
      <c r="G21" s="5" t="str">
        <f>+GOUVERNANTE!G21</f>
        <v>MERCREDI</v>
      </c>
      <c r="H21" s="6">
        <f>+H13+1</f>
        <v>46246</v>
      </c>
    </row>
    <row r="22" spans="1:13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3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3">
      <c r="A24" s="3" t="s">
        <v>209</v>
      </c>
      <c r="B24" s="10" t="s">
        <v>210</v>
      </c>
      <c r="C24" s="25">
        <v>0.25</v>
      </c>
      <c r="D24" s="11">
        <v>0.5</v>
      </c>
      <c r="E24" s="11">
        <f t="shared" ref="E24" si="3">IF(D24&gt;C24,D24-C24,C24-D24)</f>
        <v>0.25</v>
      </c>
      <c r="F24" s="11">
        <v>0.5</v>
      </c>
      <c r="G24" s="25">
        <v>0.58333333333333304</v>
      </c>
      <c r="H24" s="11">
        <f>IF(G24&gt;F24,G24-F24,F24-G24)</f>
        <v>8.3333333333333037E-2</v>
      </c>
      <c r="I24" s="17"/>
      <c r="J24" s="17"/>
      <c r="K24" s="11">
        <f>IF(J24&gt;I24,J24-I24,I24-J24)</f>
        <v>0</v>
      </c>
      <c r="L24" s="11">
        <f>E24+H24+K24</f>
        <v>0.33333333333333304</v>
      </c>
    </row>
    <row r="25" spans="1:13">
      <c r="A25" s="3" t="s">
        <v>211</v>
      </c>
      <c r="B25" s="10" t="s">
        <v>212</v>
      </c>
      <c r="C25" s="25">
        <v>0.41666666666666702</v>
      </c>
      <c r="D25" s="11">
        <v>0.5</v>
      </c>
      <c r="E25" s="11">
        <f t="shared" ref="E25:E26" si="4">IF(D25&gt;C25,D25-C25,C25-D25)</f>
        <v>8.3333333333333301E-2</v>
      </c>
      <c r="F25" s="11">
        <v>0.5</v>
      </c>
      <c r="G25" s="25">
        <v>0.75</v>
      </c>
      <c r="H25" s="11">
        <f>IF(G25&gt;F25,G25-F25,F25-G25)</f>
        <v>0.25</v>
      </c>
      <c r="I25" s="17"/>
      <c r="J25" s="17"/>
      <c r="K25" s="11">
        <f>IF(J25&gt;I25,J25-I25,I25-J25)</f>
        <v>0</v>
      </c>
      <c r="L25" s="11">
        <f>E25+H25+K25</f>
        <v>0.33333333333333298</v>
      </c>
    </row>
    <row r="26" spans="1:13">
      <c r="A26" s="3" t="s">
        <v>213</v>
      </c>
      <c r="B26" s="10" t="s">
        <v>214</v>
      </c>
      <c r="C26" s="25"/>
      <c r="D26" s="11"/>
      <c r="E26" s="11">
        <f t="shared" si="4"/>
        <v>0</v>
      </c>
      <c r="F26" s="11">
        <v>0.58333333333333337</v>
      </c>
      <c r="G26" s="25">
        <v>0.75</v>
      </c>
      <c r="H26" s="11">
        <f>IF(G26&gt;F26,G26-F26,F26-G26)</f>
        <v>0.16666666666666663</v>
      </c>
      <c r="I26" s="17">
        <v>0.75</v>
      </c>
      <c r="J26" s="17">
        <v>0.91666666666666696</v>
      </c>
      <c r="K26" s="11">
        <f>IF(J26&gt;I26,J26-I26,I26-J26)</f>
        <v>0.16666666666666696</v>
      </c>
      <c r="L26" s="11">
        <f>E26+H26+K26</f>
        <v>0.33333333333333359</v>
      </c>
    </row>
    <row r="27" spans="1:13" s="46" customFormat="1">
      <c r="A27" s="47"/>
      <c r="E27" s="48">
        <f>SUM(E24:E26)</f>
        <v>0.33333333333333331</v>
      </c>
      <c r="H27" s="48">
        <f>SUM(H24:H26)</f>
        <v>0.49999999999999967</v>
      </c>
      <c r="K27" s="48">
        <f>SUM(K24:K26)</f>
        <v>0.16666666666666696</v>
      </c>
      <c r="L27" s="15">
        <f>SUM(L24:L26)</f>
        <v>0.99999999999999967</v>
      </c>
    </row>
    <row r="29" spans="1:13">
      <c r="C29" s="2" t="s">
        <v>208</v>
      </c>
      <c r="G29" s="5" t="str">
        <f>+GOUVERNANTE!G29</f>
        <v>JEUDI</v>
      </c>
      <c r="H29" s="6">
        <f>+H21+1</f>
        <v>46247</v>
      </c>
    </row>
    <row r="30" spans="1:13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3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3">
      <c r="A32" s="3" t="s">
        <v>209</v>
      </c>
      <c r="B32" s="10" t="s">
        <v>210</v>
      </c>
      <c r="C32" s="25">
        <v>0.25</v>
      </c>
      <c r="D32" s="11">
        <v>0.5</v>
      </c>
      <c r="E32" s="11">
        <f t="shared" ref="E32:E34" si="5">IF(D32&gt;C32,D32-C32,C32-D32)</f>
        <v>0.25</v>
      </c>
      <c r="F32" s="11">
        <v>0.5</v>
      </c>
      <c r="G32" s="25">
        <v>0.58333333333333304</v>
      </c>
      <c r="H32" s="11">
        <f>IF(G32&gt;F32,G32-F32,F32-G32)</f>
        <v>8.3333333333333037E-2</v>
      </c>
      <c r="I32" s="17"/>
      <c r="J32" s="17"/>
      <c r="K32" s="11">
        <f>IF(J32&gt;I32,J32-I32,I32-J32)</f>
        <v>0</v>
      </c>
      <c r="L32" s="11">
        <f>E32+H32+K32</f>
        <v>0.33333333333333304</v>
      </c>
    </row>
    <row r="33" spans="1:13">
      <c r="A33" s="3" t="s">
        <v>211</v>
      </c>
      <c r="B33" s="10" t="s">
        <v>212</v>
      </c>
      <c r="C33" s="25"/>
      <c r="D33" s="11"/>
      <c r="E33" s="11">
        <f t="shared" si="5"/>
        <v>0</v>
      </c>
      <c r="F33" s="11">
        <v>0.625</v>
      </c>
      <c r="G33" s="25">
        <v>0.75</v>
      </c>
      <c r="H33" s="11">
        <f>IF(G33&gt;F33,G33-F33,F33-G33)</f>
        <v>0.125</v>
      </c>
      <c r="I33" s="17">
        <v>0.75</v>
      </c>
      <c r="J33" s="17">
        <v>0.91666666666666696</v>
      </c>
      <c r="K33" s="11">
        <f>IF(J33&gt;I33,J33-I33,I33-J33)</f>
        <v>0.16666666666666696</v>
      </c>
      <c r="L33" s="11">
        <f>E33+H33+K33</f>
        <v>0.29166666666666696</v>
      </c>
      <c r="M33" t="s">
        <v>25</v>
      </c>
    </row>
    <row r="34" spans="1:13">
      <c r="A34" s="3" t="s">
        <v>213</v>
      </c>
      <c r="B34" s="10" t="s">
        <v>214</v>
      </c>
      <c r="C34" s="25">
        <v>0.3125</v>
      </c>
      <c r="D34" s="11">
        <v>0.5</v>
      </c>
      <c r="E34" s="11">
        <f t="shared" si="5"/>
        <v>0.1875</v>
      </c>
      <c r="F34" s="11">
        <v>0.5</v>
      </c>
      <c r="G34" s="25">
        <v>0.64583333333333304</v>
      </c>
      <c r="H34" s="11">
        <f>IF(G34&gt;F34,G34-F34,F34-G34)</f>
        <v>0.14583333333333304</v>
      </c>
      <c r="I34" s="17"/>
      <c r="J34" s="17"/>
      <c r="K34" s="11">
        <f>IF(J34&gt;I34,J34-I34,I34-J34)</f>
        <v>0</v>
      </c>
      <c r="L34" s="11">
        <f>E34+H34+K34</f>
        <v>0.33333333333333304</v>
      </c>
    </row>
    <row r="35" spans="1:13" s="46" customFormat="1">
      <c r="A35" s="47"/>
      <c r="E35" s="48">
        <f>SUM(E32:E34)</f>
        <v>0.4375</v>
      </c>
      <c r="H35" s="48">
        <f>SUM(H32:H34)</f>
        <v>0.35416666666666607</v>
      </c>
      <c r="K35" s="48">
        <f>SUM(K32:K34)</f>
        <v>0.16666666666666696</v>
      </c>
      <c r="L35" s="15">
        <f>SUM(L32:L34)</f>
        <v>0.95833333333333304</v>
      </c>
    </row>
    <row r="37" spans="1:13">
      <c r="C37" s="2" t="s">
        <v>208</v>
      </c>
      <c r="G37" s="5" t="str">
        <f>+GOUVERNANTE!G37</f>
        <v>VENDREDI</v>
      </c>
      <c r="H37" s="6">
        <f>+H29+1</f>
        <v>46248</v>
      </c>
    </row>
    <row r="38" spans="1:13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3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 t="s">
        <v>7</v>
      </c>
      <c r="J39" s="16" t="s">
        <v>8</v>
      </c>
      <c r="K39" s="16" t="s">
        <v>9</v>
      </c>
      <c r="L39" s="7" t="s">
        <v>10</v>
      </c>
    </row>
    <row r="40" spans="1:13">
      <c r="A40" s="3" t="s">
        <v>209</v>
      </c>
      <c r="B40" s="10" t="s">
        <v>210</v>
      </c>
      <c r="C40" s="19"/>
      <c r="D40" s="19"/>
      <c r="E40" s="19">
        <f t="shared" ref="E40:E41" si="6">IF(D40&gt;C40,D40-C40,C40-D40)</f>
        <v>0</v>
      </c>
      <c r="F40" s="19"/>
      <c r="G40" s="19"/>
      <c r="H40" s="19">
        <f>IF(G40&gt;F40,G40-F40,F40-G40)</f>
        <v>0</v>
      </c>
      <c r="I40" s="22"/>
      <c r="J40" s="22"/>
      <c r="K40" s="19">
        <f>IF(J40&gt;I40,J40-I40,I40-J40)</f>
        <v>0</v>
      </c>
      <c r="L40" s="11">
        <f>E40+H40+K40</f>
        <v>0</v>
      </c>
      <c r="M40" t="s">
        <v>25</v>
      </c>
    </row>
    <row r="41" spans="1:13">
      <c r="A41" s="3" t="s">
        <v>211</v>
      </c>
      <c r="B41" s="10" t="s">
        <v>212</v>
      </c>
      <c r="C41" s="25"/>
      <c r="D41" s="11"/>
      <c r="E41" s="11">
        <f t="shared" si="6"/>
        <v>0</v>
      </c>
      <c r="F41" s="11">
        <v>0.58333333333333337</v>
      </c>
      <c r="G41" s="25">
        <v>0.75</v>
      </c>
      <c r="H41" s="11">
        <f>IF(G41&gt;F41,G41-F41,F41-G41)</f>
        <v>0.16666666666666663</v>
      </c>
      <c r="I41" s="17">
        <v>0.75</v>
      </c>
      <c r="J41" s="17">
        <v>0.91666666666666696</v>
      </c>
      <c r="K41" s="11">
        <f>IF(J41&gt;I41,J41-I41,I41-J41)</f>
        <v>0.16666666666666696</v>
      </c>
      <c r="L41" s="11">
        <f>E41+H41+K41</f>
        <v>0.33333333333333359</v>
      </c>
    </row>
    <row r="42" spans="1:13">
      <c r="A42" s="3" t="s">
        <v>213</v>
      </c>
      <c r="B42" s="10" t="s">
        <v>214</v>
      </c>
      <c r="C42" s="25">
        <v>0.25</v>
      </c>
      <c r="D42" s="11">
        <v>0.5</v>
      </c>
      <c r="E42" s="11">
        <f t="shared" ref="E42" si="7">IF(D42&gt;C42,D42-C42,C42-D42)</f>
        <v>0.25</v>
      </c>
      <c r="F42" s="49">
        <v>0.5</v>
      </c>
      <c r="G42" s="25">
        <v>0.58333333333333304</v>
      </c>
      <c r="H42" s="11">
        <f>IF(G42&gt;F42,G42-F42,F42-G42)</f>
        <v>8.3333333333333398E-2</v>
      </c>
      <c r="I42" s="17"/>
      <c r="J42" s="17"/>
      <c r="K42" s="11">
        <f>IF(J42&gt;I42,J42-I42,I42-J42)</f>
        <v>0</v>
      </c>
      <c r="L42" s="11">
        <f>E42+H42+K42</f>
        <v>0.33333333333333298</v>
      </c>
    </row>
    <row r="43" spans="1:13" s="46" customFormat="1">
      <c r="A43" s="47"/>
      <c r="E43" s="48">
        <f>SUM(E40:E42)</f>
        <v>0.25</v>
      </c>
      <c r="H43" s="48">
        <f>SUM(H40:H42)</f>
        <v>0.25</v>
      </c>
      <c r="I43" s="46">
        <v>0</v>
      </c>
      <c r="K43" s="48">
        <f>SUM(K40:K42)</f>
        <v>0.16666666666666696</v>
      </c>
      <c r="L43" s="15">
        <f>SUM(L40:L42)</f>
        <v>0.66666666666666652</v>
      </c>
    </row>
    <row r="44" spans="1:13">
      <c r="C44" s="25"/>
      <c r="D44" s="11"/>
      <c r="E44" s="11"/>
      <c r="F44" s="11"/>
      <c r="G44" s="25"/>
      <c r="H44" s="11"/>
      <c r="I44" s="17"/>
      <c r="J44" s="17"/>
      <c r="K44" s="11"/>
      <c r="L44" s="11"/>
    </row>
    <row r="45" spans="1:13">
      <c r="C45" s="2" t="s">
        <v>208</v>
      </c>
      <c r="G45" s="5" t="str">
        <f>+GOUVERNANTE!G45</f>
        <v>SAMEDI</v>
      </c>
      <c r="H45" s="6">
        <f>+H37+1</f>
        <v>46249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s="3" t="s">
        <v>209</v>
      </c>
      <c r="B48" s="10" t="s">
        <v>210</v>
      </c>
      <c r="C48" s="25">
        <v>0.25</v>
      </c>
      <c r="D48" s="11">
        <v>0.5</v>
      </c>
      <c r="E48" s="11">
        <f t="shared" ref="E48:E49" si="8">IF(D48&gt;C48,D48-C48,C48-D48)</f>
        <v>0.25</v>
      </c>
      <c r="F48" s="11">
        <v>0.5</v>
      </c>
      <c r="G48" s="25">
        <v>0.58333333333333304</v>
      </c>
      <c r="H48" s="11">
        <f>IF(G48&gt;F48,G48-F48,F48-G48)</f>
        <v>8.3333333333333037E-2</v>
      </c>
      <c r="I48" s="17"/>
      <c r="J48" s="17"/>
      <c r="K48" s="11">
        <f>IF(J48&gt;I48,J48-I48,I48-J48)</f>
        <v>0</v>
      </c>
      <c r="L48" s="11">
        <f>E48+H48+K48</f>
        <v>0.33333333333333304</v>
      </c>
    </row>
    <row r="49" spans="1:13">
      <c r="A49" s="3" t="s">
        <v>211</v>
      </c>
      <c r="B49" s="10" t="s">
        <v>212</v>
      </c>
      <c r="C49" s="25"/>
      <c r="D49" s="11"/>
      <c r="E49" s="11">
        <f t="shared" si="8"/>
        <v>0</v>
      </c>
      <c r="F49" s="11">
        <v>0.625</v>
      </c>
      <c r="G49" s="25">
        <v>0.75</v>
      </c>
      <c r="H49" s="11">
        <f>IF(G49&gt;F49,G49-F49,F49-G49)</f>
        <v>0.125</v>
      </c>
      <c r="I49" s="17">
        <v>0.75</v>
      </c>
      <c r="J49" s="17">
        <v>0.91666666666666696</v>
      </c>
      <c r="K49" s="11">
        <f>IF(J49&gt;I49,J49-I49,I49-J49)</f>
        <v>0.16666666666666696</v>
      </c>
      <c r="L49" s="11">
        <f>E49+H49+K49</f>
        <v>0.29166666666666696</v>
      </c>
    </row>
    <row r="50" spans="1:13">
      <c r="A50" s="3" t="s">
        <v>213</v>
      </c>
      <c r="B50" s="10" t="s">
        <v>214</v>
      </c>
      <c r="C50" s="25">
        <v>0.375</v>
      </c>
      <c r="D50" s="11">
        <v>0.5</v>
      </c>
      <c r="E50" s="11">
        <f t="shared" ref="E50" si="9">IF(D50&gt;C50,D50-C50,C50-D50)</f>
        <v>0.125</v>
      </c>
      <c r="F50" s="11">
        <v>0.5</v>
      </c>
      <c r="G50" s="25">
        <v>0.70833333333333337</v>
      </c>
      <c r="H50" s="11">
        <f>IF(G50&gt;F50,G50-F50,F50-G50)</f>
        <v>0.20833333333333337</v>
      </c>
      <c r="I50" s="17"/>
      <c r="J50" s="17"/>
      <c r="K50" s="11">
        <f>IF(J50&gt;I50,J50-I50,I50-J50)</f>
        <v>0</v>
      </c>
      <c r="L50" s="11">
        <f>E50+H50+K50</f>
        <v>0.33333333333333337</v>
      </c>
      <c r="M50" t="s">
        <v>25</v>
      </c>
    </row>
    <row r="51" spans="1:13" s="46" customFormat="1">
      <c r="A51" s="47"/>
      <c r="E51" s="48">
        <f>SUM(E48:E50)</f>
        <v>0.375</v>
      </c>
      <c r="H51" s="48">
        <f>SUM(H48:H50)</f>
        <v>0.41666666666666641</v>
      </c>
      <c r="K51" s="48">
        <f>SUM(K48:K50)</f>
        <v>0.16666666666666696</v>
      </c>
      <c r="L51" s="15">
        <f>SUM(L48:L50)</f>
        <v>0.95833333333333337</v>
      </c>
    </row>
    <row r="53" spans="1:13">
      <c r="C53" s="2" t="s">
        <v>208</v>
      </c>
      <c r="G53" s="5" t="str">
        <f>+GOUVERNANTE!G53</f>
        <v>DIMANCHE</v>
      </c>
      <c r="H53" s="6">
        <f>+H45+1</f>
        <v>46250</v>
      </c>
    </row>
    <row r="54" spans="1:13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3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 t="s">
        <v>7</v>
      </c>
      <c r="J55" s="16" t="s">
        <v>8</v>
      </c>
      <c r="K55" s="16" t="s">
        <v>9</v>
      </c>
      <c r="L55" s="7" t="s">
        <v>10</v>
      </c>
    </row>
    <row r="56" spans="1:13">
      <c r="A56" s="3" t="s">
        <v>209</v>
      </c>
      <c r="B56" s="10" t="s">
        <v>210</v>
      </c>
      <c r="C56" s="25">
        <v>0.25</v>
      </c>
      <c r="D56" s="11">
        <v>0.5</v>
      </c>
      <c r="E56" s="11">
        <f t="shared" ref="E56:E58" si="10">IF(D56&gt;C56,D56-C56,C56-D56)</f>
        <v>0.25</v>
      </c>
      <c r="F56" s="11">
        <v>0.5</v>
      </c>
      <c r="G56" s="25">
        <v>0.58333333333333304</v>
      </c>
      <c r="H56" s="11">
        <f>IF(G56&gt;F56,G56-F56,F56-G56)</f>
        <v>8.3333333333333037E-2</v>
      </c>
      <c r="I56" s="17"/>
      <c r="J56" s="17"/>
      <c r="K56" s="11">
        <f>IF(J56&gt;I56,J56-I56,I56-J56)</f>
        <v>0</v>
      </c>
      <c r="L56" s="11">
        <f>E56+H56+K56</f>
        <v>0.33333333333333304</v>
      </c>
    </row>
    <row r="57" spans="1:13">
      <c r="A57" s="3" t="s">
        <v>211</v>
      </c>
      <c r="B57" s="10" t="s">
        <v>212</v>
      </c>
      <c r="C57" s="25"/>
      <c r="D57" s="11"/>
      <c r="E57" s="11">
        <f t="shared" si="10"/>
        <v>0</v>
      </c>
      <c r="F57" s="11">
        <v>0.625</v>
      </c>
      <c r="G57" s="25">
        <v>0.75</v>
      </c>
      <c r="H57" s="11">
        <f>IF(G57&gt;F57,G57-F57,F57-G57)</f>
        <v>0.125</v>
      </c>
      <c r="I57" s="17">
        <v>0.75</v>
      </c>
      <c r="J57" s="17">
        <v>0.91666666666666696</v>
      </c>
      <c r="K57" s="11">
        <f>IF(J57&gt;I57,J57-I57,I57-J57)</f>
        <v>0.16666666666666696</v>
      </c>
      <c r="L57" s="11">
        <f>E57+H57+K57</f>
        <v>0.29166666666666696</v>
      </c>
      <c r="M57" t="s">
        <v>25</v>
      </c>
    </row>
    <row r="58" spans="1:13">
      <c r="A58" s="3" t="s">
        <v>213</v>
      </c>
      <c r="B58" s="10" t="s">
        <v>214</v>
      </c>
      <c r="C58" s="25">
        <v>0.375</v>
      </c>
      <c r="D58" s="11">
        <v>0.5</v>
      </c>
      <c r="E58" s="11">
        <f t="shared" si="10"/>
        <v>0.125</v>
      </c>
      <c r="F58" s="11">
        <v>0.5</v>
      </c>
      <c r="G58" s="25">
        <v>0.70833333333333337</v>
      </c>
      <c r="H58" s="11">
        <f>IF(G58&gt;F58,G58-F58,F58-G58)</f>
        <v>0.20833333333333337</v>
      </c>
      <c r="I58" s="17"/>
      <c r="J58" s="17"/>
      <c r="K58" s="11">
        <f>IF(J58&gt;I58,J58-I58,I58-J58)</f>
        <v>0</v>
      </c>
      <c r="L58" s="11">
        <f>E58+H58+K58</f>
        <v>0.33333333333333337</v>
      </c>
    </row>
    <row r="59" spans="1:13" s="46" customFormat="1">
      <c r="A59" s="47"/>
      <c r="E59" s="48">
        <f>SUM(E56:E58)</f>
        <v>0.375</v>
      </c>
      <c r="H59" s="48">
        <f>SUM(H56:H58)</f>
        <v>0.41666666666666641</v>
      </c>
      <c r="K59" s="48">
        <f>SUM(K56:K58)</f>
        <v>0.16666666666666696</v>
      </c>
      <c r="L59" s="15">
        <f>SUM(L56:L58)</f>
        <v>0.95833333333333337</v>
      </c>
    </row>
    <row r="61" spans="1:13">
      <c r="B61" s="10" t="s">
        <v>210</v>
      </c>
      <c r="C61" s="21">
        <f>+L8+L16+L24+L32+L40+L48+L56</f>
        <v>1.9999999999999982</v>
      </c>
    </row>
    <row r="62" spans="1:13">
      <c r="B62" s="10" t="s">
        <v>212</v>
      </c>
      <c r="C62" s="21">
        <f>+L9+L17+L25+L33+L41+L49+L57</f>
        <v>2.1666666666666679</v>
      </c>
    </row>
    <row r="63" spans="1:13">
      <c r="B63" s="10" t="s">
        <v>214</v>
      </c>
      <c r="C63" s="21">
        <f>+L10+L18+L26+L34+L42+L50+L58</f>
        <v>1.9999999999999996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M136"/>
  <sheetViews>
    <sheetView zoomScale="114" zoomScaleNormal="114" zoomScaleSheetLayoutView="98" workbookViewId="0">
      <selection activeCell="B29" sqref="B29"/>
    </sheetView>
  </sheetViews>
  <sheetFormatPr defaultColWidth="11" defaultRowHeight="15"/>
  <cols>
    <col min="1" max="1" width="6.85546875" style="3" customWidth="1"/>
  </cols>
  <sheetData>
    <row r="1" spans="1:13" ht="9.75" customHeight="1"/>
    <row r="2" spans="1:13">
      <c r="E2" s="171" t="s">
        <v>215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 ht="8.25" customHeight="1"/>
    <row r="5" spans="1:13">
      <c r="C5" s="2" t="s">
        <v>216</v>
      </c>
      <c r="G5" s="5" t="s">
        <v>39</v>
      </c>
      <c r="H5" s="6">
        <f>+PISCINE!H5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s="3" t="s">
        <v>217</v>
      </c>
      <c r="B8" s="10" t="s">
        <v>218</v>
      </c>
      <c r="C8" s="25">
        <v>0.3125</v>
      </c>
      <c r="D8" s="11">
        <v>0.5</v>
      </c>
      <c r="E8" s="11">
        <f>IF(D8&gt;C8,D8-C8,C8-D8)</f>
        <v>0.1875</v>
      </c>
      <c r="F8" s="11">
        <v>0.52083333333333304</v>
      </c>
      <c r="G8" s="25">
        <v>0.66666666666666696</v>
      </c>
      <c r="H8" s="11">
        <f t="shared" ref="H8" si="0">IF(G8&gt;F8,G8-F8,F8-G8)</f>
        <v>0.14583333333333301</v>
      </c>
      <c r="I8" s="17"/>
      <c r="J8" s="17"/>
      <c r="K8" s="11">
        <f t="shared" ref="K8" si="1">IF(J8&gt;I8,J8-I8,I8-J8)</f>
        <v>0</v>
      </c>
      <c r="L8" s="11">
        <f t="shared" ref="L8" si="2">E8+H8+K8</f>
        <v>0.33333333333333298</v>
      </c>
    </row>
    <row r="9" spans="1:13">
      <c r="A9" s="3" t="s">
        <v>219</v>
      </c>
      <c r="B9" s="10" t="s">
        <v>220</v>
      </c>
      <c r="C9" s="25">
        <v>0.29166666666666702</v>
      </c>
      <c r="D9" s="11">
        <v>0.5</v>
      </c>
      <c r="E9" s="11">
        <f t="shared" ref="E9" si="3">IF(D9&gt;C9,D9-C9,C9-D9)</f>
        <v>0.20833333333333301</v>
      </c>
      <c r="F9" s="11">
        <v>0.52083333333333304</v>
      </c>
      <c r="G9" s="25">
        <v>0.64583333333333304</v>
      </c>
      <c r="H9" s="11">
        <f t="shared" ref="H9" si="4">IF(G9&gt;F9,G9-F9,F9-G9)</f>
        <v>0.125</v>
      </c>
      <c r="I9" s="17"/>
      <c r="J9" s="17"/>
      <c r="K9" s="11">
        <f t="shared" ref="K9" si="5">IF(J9&gt;I9,J9-I9,I9-J9)</f>
        <v>0</v>
      </c>
      <c r="L9" s="11">
        <f t="shared" ref="L9" si="6">E9+H9+K9</f>
        <v>0.33333333333333298</v>
      </c>
    </row>
    <row r="10" spans="1:13">
      <c r="A10" s="3" t="s">
        <v>221</v>
      </c>
      <c r="B10" s="10" t="s">
        <v>222</v>
      </c>
      <c r="C10" s="25">
        <v>0.3125</v>
      </c>
      <c r="D10" s="11">
        <v>0.5</v>
      </c>
      <c r="E10" s="11">
        <f t="shared" ref="E10:E12" si="7">IF(D10&gt;C10,D10-C10,C10-D10)</f>
        <v>0.1875</v>
      </c>
      <c r="F10" s="11">
        <v>0.52083333333333304</v>
      </c>
      <c r="G10" s="25">
        <v>0.70833333333333304</v>
      </c>
      <c r="H10" s="11">
        <f t="shared" ref="H10:H15" si="8">IF(G10&gt;F10,G10-F10,F10-G10)</f>
        <v>0.1875</v>
      </c>
      <c r="I10" s="17"/>
      <c r="J10" s="17"/>
      <c r="K10" s="11">
        <f t="shared" ref="K10:K15" si="9">IF(J10&gt;I10,J10-I10,I10-J10)</f>
        <v>0</v>
      </c>
      <c r="L10" s="11">
        <f t="shared" ref="L10:L15" si="10">E10+H10+K10</f>
        <v>0.375</v>
      </c>
    </row>
    <row r="11" spans="1:13">
      <c r="A11" s="3" t="s">
        <v>223</v>
      </c>
      <c r="B11" s="10" t="s">
        <v>224</v>
      </c>
      <c r="C11" s="25">
        <v>0.3125</v>
      </c>
      <c r="D11" s="11">
        <v>0.5</v>
      </c>
      <c r="E11" s="11">
        <f t="shared" si="7"/>
        <v>0.1875</v>
      </c>
      <c r="F11" s="11">
        <v>0.52083333333333304</v>
      </c>
      <c r="G11" s="25">
        <v>0.70833333333333304</v>
      </c>
      <c r="H11" s="11">
        <f t="shared" ref="H11:H12" si="11">IF(G11&gt;F11,G11-F11,F11-G11)</f>
        <v>0.1875</v>
      </c>
      <c r="I11" s="17"/>
      <c r="J11" s="17"/>
      <c r="K11" s="11">
        <f t="shared" ref="K11:K12" si="12">IF(J11&gt;I11,J11-I11,I11-J11)</f>
        <v>0</v>
      </c>
      <c r="L11" s="11">
        <f t="shared" ref="L11:L12" si="13">E11+H11+K11</f>
        <v>0.375</v>
      </c>
    </row>
    <row r="12" spans="1:13">
      <c r="A12" s="3" t="s">
        <v>225</v>
      </c>
      <c r="B12" s="10" t="s">
        <v>121</v>
      </c>
      <c r="C12" s="25">
        <v>0.29166666666666702</v>
      </c>
      <c r="D12" s="11">
        <v>0.5</v>
      </c>
      <c r="E12" s="11">
        <f t="shared" si="7"/>
        <v>0.20833333333333301</v>
      </c>
      <c r="F12" s="11">
        <v>0.52083333333333304</v>
      </c>
      <c r="G12" s="25">
        <v>0.64583333333333304</v>
      </c>
      <c r="H12" s="11">
        <f t="shared" si="11"/>
        <v>0.125</v>
      </c>
      <c r="I12" s="17"/>
      <c r="J12" s="17"/>
      <c r="K12" s="11">
        <f t="shared" si="12"/>
        <v>0</v>
      </c>
      <c r="L12" s="11">
        <f t="shared" si="13"/>
        <v>0.33333333333333298</v>
      </c>
      <c r="M12" t="s">
        <v>25</v>
      </c>
    </row>
    <row r="13" spans="1:13">
      <c r="A13" s="3" t="s">
        <v>226</v>
      </c>
      <c r="B13" s="10" t="s">
        <v>227</v>
      </c>
      <c r="C13" s="19"/>
      <c r="D13" s="19"/>
      <c r="E13" s="19">
        <f t="shared" ref="E13:E15" si="14">IF(D13&gt;C13,D13-C13,C13-D13)</f>
        <v>0</v>
      </c>
      <c r="F13" s="19"/>
      <c r="G13" s="19"/>
      <c r="H13" s="19">
        <f t="shared" si="8"/>
        <v>0</v>
      </c>
      <c r="I13" s="22"/>
      <c r="J13" s="22"/>
      <c r="K13" s="19">
        <f t="shared" si="9"/>
        <v>0</v>
      </c>
      <c r="L13" s="11">
        <f t="shared" si="10"/>
        <v>0</v>
      </c>
      <c r="M13" t="s">
        <v>25</v>
      </c>
    </row>
    <row r="14" spans="1:13">
      <c r="A14" s="3" t="s">
        <v>228</v>
      </c>
      <c r="B14" s="13" t="s">
        <v>229</v>
      </c>
      <c r="C14" s="25">
        <v>0.3125</v>
      </c>
      <c r="D14" s="11">
        <v>0.5</v>
      </c>
      <c r="E14" s="11">
        <f t="shared" si="14"/>
        <v>0.1875</v>
      </c>
      <c r="F14" s="11">
        <v>0.52083333333333304</v>
      </c>
      <c r="G14" s="25">
        <v>0.66666666666666696</v>
      </c>
      <c r="H14" s="11">
        <f t="shared" si="8"/>
        <v>0.14583333333333301</v>
      </c>
      <c r="I14" s="17"/>
      <c r="J14" s="17"/>
      <c r="K14" s="11">
        <f t="shared" si="9"/>
        <v>0</v>
      </c>
      <c r="L14" s="11">
        <f t="shared" si="10"/>
        <v>0.33333333333333298</v>
      </c>
    </row>
    <row r="15" spans="1:13">
      <c r="A15" s="3" t="s">
        <v>228</v>
      </c>
      <c r="B15" s="13" t="s">
        <v>14</v>
      </c>
      <c r="C15" s="25">
        <v>0.3125</v>
      </c>
      <c r="D15" s="11">
        <v>0.5</v>
      </c>
      <c r="E15" s="11">
        <f t="shared" si="14"/>
        <v>0.1875</v>
      </c>
      <c r="F15" s="11">
        <v>0.52083333333333304</v>
      </c>
      <c r="G15" s="25">
        <v>0.66666666666666696</v>
      </c>
      <c r="H15" s="11">
        <f t="shared" si="8"/>
        <v>0.14583333333333301</v>
      </c>
      <c r="I15" s="17"/>
      <c r="J15" s="17"/>
      <c r="K15" s="11">
        <f t="shared" si="9"/>
        <v>0</v>
      </c>
      <c r="L15" s="11">
        <f t="shared" si="10"/>
        <v>0.33333333333333298</v>
      </c>
    </row>
    <row r="16" spans="1:13">
      <c r="B16" s="13" t="s">
        <v>230</v>
      </c>
      <c r="C16" s="25">
        <v>0.3125</v>
      </c>
      <c r="D16" s="11">
        <v>0.5</v>
      </c>
      <c r="E16" s="11">
        <f t="shared" ref="E16" si="15">IF(D16&gt;C16,D16-C16,C16-D16)</f>
        <v>0.1875</v>
      </c>
      <c r="F16" s="11">
        <v>0.52083333333333304</v>
      </c>
      <c r="G16" s="25">
        <v>0.66666666666666696</v>
      </c>
      <c r="H16" s="11">
        <f t="shared" ref="H16" si="16">IF(G16&gt;F16,G16-F16,F16-G16)</f>
        <v>0.14583333333333301</v>
      </c>
      <c r="I16" s="17"/>
      <c r="J16" s="17"/>
      <c r="K16" s="11">
        <f t="shared" ref="K16" si="17">IF(J16&gt;I16,J16-I16,I16-J16)</f>
        <v>0</v>
      </c>
      <c r="L16" s="11">
        <f t="shared" ref="L16" si="18">E16+H16+K16</f>
        <v>0.33333333333333298</v>
      </c>
    </row>
    <row r="17" spans="1:13">
      <c r="A17" s="3" t="s">
        <v>231</v>
      </c>
      <c r="B17" s="13" t="s">
        <v>232</v>
      </c>
      <c r="C17" s="20">
        <v>0.3125</v>
      </c>
      <c r="D17" s="11">
        <v>0.5</v>
      </c>
      <c r="E17" s="11">
        <f t="shared" ref="E17" si="19">IF(D17&gt;C17,D17-C17,C17-D17)</f>
        <v>0.1875</v>
      </c>
      <c r="F17" s="11">
        <v>0.58333333333333304</v>
      </c>
      <c r="G17" s="20">
        <v>0.66666666666666696</v>
      </c>
      <c r="H17" s="11">
        <f t="shared" ref="H17" si="20">IF(G17&gt;F17,G17-F17,F17-G17)</f>
        <v>8.3333333333333301E-2</v>
      </c>
      <c r="I17" s="21"/>
      <c r="J17" s="21"/>
      <c r="K17" s="11">
        <f t="shared" ref="K17" si="21">IF(J17&gt;I17,J17-I17,I17-J17)</f>
        <v>0</v>
      </c>
      <c r="L17" s="11">
        <f t="shared" ref="L17" si="22">E17+H17+K17</f>
        <v>0.27083333333333298</v>
      </c>
    </row>
    <row r="18" spans="1:13">
      <c r="A18" s="3" t="s">
        <v>231</v>
      </c>
      <c r="B18" s="13" t="s">
        <v>233</v>
      </c>
      <c r="C18" s="20">
        <v>0.3125</v>
      </c>
      <c r="D18" s="11">
        <v>0.5</v>
      </c>
      <c r="E18" s="11">
        <f t="shared" ref="E18:E20" si="23">IF(D18&gt;C18,D18-C18,C18-D18)</f>
        <v>0.1875</v>
      </c>
      <c r="F18" s="11">
        <v>0.52083333333333304</v>
      </c>
      <c r="G18" s="20">
        <v>0.66666666666666696</v>
      </c>
      <c r="H18" s="11">
        <f t="shared" ref="H18:H20" si="24">IF(G18&gt;F18,G18-F18,F18-G18)</f>
        <v>0.14583333333333301</v>
      </c>
      <c r="I18" s="21"/>
      <c r="J18" s="21"/>
      <c r="K18" s="11">
        <f t="shared" ref="K18:K20" si="25">IF(J18&gt;I18,J18-I18,I18-J18)</f>
        <v>0</v>
      </c>
      <c r="L18" s="11">
        <f t="shared" ref="L18:L20" si="26">E18+H18+K18</f>
        <v>0.33333333333333298</v>
      </c>
    </row>
    <row r="19" spans="1:13">
      <c r="A19" s="3" t="s">
        <v>231</v>
      </c>
      <c r="B19" s="13" t="s">
        <v>234</v>
      </c>
      <c r="C19" s="20">
        <v>0.3125</v>
      </c>
      <c r="D19" s="11">
        <v>0.5</v>
      </c>
      <c r="E19" s="11">
        <f t="shared" si="23"/>
        <v>0.1875</v>
      </c>
      <c r="F19" s="11">
        <v>0.52083333333333304</v>
      </c>
      <c r="G19" s="20">
        <v>0.66666666666666696</v>
      </c>
      <c r="H19" s="11">
        <f t="shared" si="24"/>
        <v>0.14583333333333301</v>
      </c>
      <c r="I19" s="21"/>
      <c r="J19" s="21"/>
      <c r="K19" s="11">
        <f t="shared" si="25"/>
        <v>0</v>
      </c>
      <c r="L19" s="11">
        <f t="shared" si="26"/>
        <v>0.33333333333333298</v>
      </c>
    </row>
    <row r="20" spans="1:13">
      <c r="A20" s="3" t="s">
        <v>231</v>
      </c>
      <c r="B20" s="13" t="s">
        <v>235</v>
      </c>
      <c r="C20" s="20">
        <v>0.3125</v>
      </c>
      <c r="D20" s="11">
        <v>0.5</v>
      </c>
      <c r="E20" s="11">
        <f t="shared" si="23"/>
        <v>0.1875</v>
      </c>
      <c r="F20" s="11">
        <v>0.52083333333333304</v>
      </c>
      <c r="G20" s="20">
        <v>0.66666666666666696</v>
      </c>
      <c r="H20" s="11">
        <f t="shared" si="24"/>
        <v>0.14583333333333301</v>
      </c>
      <c r="I20" s="21"/>
      <c r="J20" s="21"/>
      <c r="K20" s="11">
        <f t="shared" si="25"/>
        <v>0</v>
      </c>
      <c r="L20" s="11">
        <f t="shared" si="26"/>
        <v>0.33333333333333298</v>
      </c>
    </row>
    <row r="21" spans="1:13">
      <c r="E21" s="15">
        <f>SUM(E8:E20)</f>
        <v>2.2916666666666701</v>
      </c>
      <c r="H21" s="15">
        <f>SUM(H8:H20)</f>
        <v>1.7291666666666701</v>
      </c>
      <c r="K21" s="15">
        <f>SUM(K8:K20)</f>
        <v>0</v>
      </c>
      <c r="L21" s="15">
        <f>SUM(L8:L20)</f>
        <v>4.0208333333333304</v>
      </c>
    </row>
    <row r="22" spans="1:13" ht="8.25" customHeight="1"/>
    <row r="23" spans="1:13">
      <c r="C23" s="2" t="s">
        <v>216</v>
      </c>
      <c r="G23" s="5" t="s">
        <v>32</v>
      </c>
      <c r="H23" s="6">
        <f>+H5+1</f>
        <v>46245</v>
      </c>
    </row>
    <row r="24" spans="1:13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3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3">
      <c r="A26" s="3" t="s">
        <v>217</v>
      </c>
      <c r="B26" s="10" t="s">
        <v>218</v>
      </c>
      <c r="C26" s="20">
        <v>0.3125</v>
      </c>
      <c r="D26" s="21">
        <v>0.5</v>
      </c>
      <c r="E26" s="11">
        <f t="shared" ref="E26:E27" si="27">IF(D26&gt;C26,D26-C26,C26-D26)</f>
        <v>0.1875</v>
      </c>
      <c r="F26" s="21">
        <v>0.52083333333333304</v>
      </c>
      <c r="G26" s="20">
        <v>0.66666666666666696</v>
      </c>
      <c r="H26" s="11">
        <f t="shared" ref="H26:H27" si="28">IF(G26&gt;F26,G26-F26,F26-G26)</f>
        <v>0.14583333333333301</v>
      </c>
      <c r="I26" s="21"/>
      <c r="J26" s="21"/>
      <c r="K26" s="11">
        <f t="shared" ref="K26:K27" si="29">IF(J26&gt;I26,J26-I26,I26-J26)</f>
        <v>0</v>
      </c>
      <c r="L26" s="11">
        <f t="shared" ref="L26:L27" si="30">E26+H26+K26</f>
        <v>0.33333333333333298</v>
      </c>
    </row>
    <row r="27" spans="1:13">
      <c r="A27" s="3" t="s">
        <v>219</v>
      </c>
      <c r="B27" s="10" t="s">
        <v>220</v>
      </c>
      <c r="C27" s="19"/>
      <c r="D27" s="19"/>
      <c r="E27" s="19">
        <f t="shared" si="27"/>
        <v>0</v>
      </c>
      <c r="F27" s="19"/>
      <c r="G27" s="19"/>
      <c r="H27" s="19">
        <f t="shared" si="28"/>
        <v>0</v>
      </c>
      <c r="I27" s="22"/>
      <c r="J27" s="22"/>
      <c r="K27" s="19">
        <f t="shared" si="29"/>
        <v>0</v>
      </c>
      <c r="L27" s="11">
        <f t="shared" si="30"/>
        <v>0</v>
      </c>
      <c r="M27" t="s">
        <v>25</v>
      </c>
    </row>
    <row r="28" spans="1:13">
      <c r="A28" s="3" t="s">
        <v>221</v>
      </c>
      <c r="B28" s="10" t="s">
        <v>222</v>
      </c>
      <c r="C28" s="25">
        <v>0.3125</v>
      </c>
      <c r="D28" s="11">
        <v>0.5</v>
      </c>
      <c r="E28" s="11">
        <f t="shared" ref="E28" si="31">IF(D28&gt;C28,D28-C28,C28-D28)</f>
        <v>0.1875</v>
      </c>
      <c r="F28" s="11">
        <v>0.52083333333333304</v>
      </c>
      <c r="G28" s="25">
        <v>0.66666666666666696</v>
      </c>
      <c r="H28" s="11">
        <f t="shared" ref="H28" si="32">IF(G28&gt;F28,G28-F28,F28-G28)</f>
        <v>0.14583333333333301</v>
      </c>
      <c r="I28" s="17"/>
      <c r="J28" s="17"/>
      <c r="K28" s="11">
        <f t="shared" ref="K28" si="33">IF(J28&gt;I28,J28-I28,I28-J28)</f>
        <v>0</v>
      </c>
      <c r="L28" s="11">
        <f t="shared" ref="L28" si="34">E28+H28+K28</f>
        <v>0.33333333333333298</v>
      </c>
    </row>
    <row r="29" spans="1:13">
      <c r="A29" s="3" t="s">
        <v>223</v>
      </c>
      <c r="B29" s="10" t="s">
        <v>224</v>
      </c>
      <c r="C29" s="25">
        <v>0.3125</v>
      </c>
      <c r="D29" s="11">
        <v>0.5</v>
      </c>
      <c r="E29" s="11">
        <f t="shared" ref="E29:E38" si="35">IF(D29&gt;C29,D29-C29,C29-D29)</f>
        <v>0.1875</v>
      </c>
      <c r="F29" s="11">
        <v>0.52083333333333304</v>
      </c>
      <c r="G29" s="25">
        <v>0.70833333333333304</v>
      </c>
      <c r="H29" s="11">
        <f t="shared" ref="H29:H38" si="36">IF(G29&gt;F29,G29-F29,F29-G29)</f>
        <v>0.1875</v>
      </c>
      <c r="I29" s="17"/>
      <c r="J29" s="17"/>
      <c r="K29" s="11">
        <f t="shared" ref="K29:K38" si="37">IF(J29&gt;I29,J29-I29,I29-J29)</f>
        <v>0</v>
      </c>
      <c r="L29" s="11">
        <f t="shared" ref="L29:L38" si="38">E29+H29+K29</f>
        <v>0.375</v>
      </c>
    </row>
    <row r="30" spans="1:13">
      <c r="A30" s="3" t="s">
        <v>225</v>
      </c>
      <c r="B30" s="10" t="s">
        <v>121</v>
      </c>
      <c r="C30" s="25">
        <v>0.29166666666666702</v>
      </c>
      <c r="D30" s="11">
        <v>0.5</v>
      </c>
      <c r="E30" s="11">
        <f t="shared" ref="E30" si="39">IF(D30&gt;C30,D30-C30,C30-D30)</f>
        <v>0.20833333333333301</v>
      </c>
      <c r="F30" s="11">
        <v>0.52083333333333304</v>
      </c>
      <c r="G30" s="25">
        <v>0.64583333333333304</v>
      </c>
      <c r="H30" s="11">
        <f t="shared" ref="H30" si="40">IF(G30&gt;F30,G30-F30,F30-G30)</f>
        <v>0.125</v>
      </c>
      <c r="I30" s="17"/>
      <c r="J30" s="17"/>
      <c r="K30" s="11">
        <f t="shared" ref="K30" si="41">IF(J30&gt;I30,J30-I30,I30-J30)</f>
        <v>0</v>
      </c>
      <c r="L30" s="11">
        <f t="shared" ref="L30" si="42">E30+H30+K30</f>
        <v>0.33333333333333298</v>
      </c>
      <c r="M30" t="s">
        <v>25</v>
      </c>
    </row>
    <row r="31" spans="1:13">
      <c r="A31" s="3" t="s">
        <v>226</v>
      </c>
      <c r="B31" s="10" t="s">
        <v>227</v>
      </c>
      <c r="C31" s="25">
        <v>0.33333333333333298</v>
      </c>
      <c r="D31" s="11">
        <v>0.5</v>
      </c>
      <c r="E31" s="11">
        <f t="shared" si="35"/>
        <v>0.16666666666666699</v>
      </c>
      <c r="F31" s="11">
        <v>0.52083333333333304</v>
      </c>
      <c r="G31" s="25">
        <v>0.64583333333333304</v>
      </c>
      <c r="H31" s="11">
        <f t="shared" si="36"/>
        <v>0.125</v>
      </c>
      <c r="I31" s="17"/>
      <c r="J31" s="17"/>
      <c r="K31" s="11">
        <f t="shared" si="37"/>
        <v>0</v>
      </c>
      <c r="L31" s="11">
        <f t="shared" si="38"/>
        <v>0.29166666666666702</v>
      </c>
    </row>
    <row r="32" spans="1:13">
      <c r="A32" s="3" t="s">
        <v>228</v>
      </c>
      <c r="B32" s="13" t="s">
        <v>229</v>
      </c>
      <c r="C32" s="25">
        <v>0.3125</v>
      </c>
      <c r="D32" s="11">
        <v>0.5</v>
      </c>
      <c r="E32" s="11">
        <f t="shared" si="35"/>
        <v>0.1875</v>
      </c>
      <c r="F32" s="11">
        <v>0.52083333333333304</v>
      </c>
      <c r="G32" s="25">
        <v>0.66666666666666696</v>
      </c>
      <c r="H32" s="11">
        <f t="shared" si="36"/>
        <v>0.14583333333333301</v>
      </c>
      <c r="I32" s="17"/>
      <c r="J32" s="17"/>
      <c r="K32" s="11">
        <f t="shared" si="37"/>
        <v>0</v>
      </c>
      <c r="L32" s="11">
        <f t="shared" si="38"/>
        <v>0.33333333333333298</v>
      </c>
    </row>
    <row r="33" spans="1:13">
      <c r="A33" s="3" t="s">
        <v>228</v>
      </c>
      <c r="B33" s="13" t="s">
        <v>14</v>
      </c>
      <c r="C33" s="25">
        <v>0.3125</v>
      </c>
      <c r="D33" s="11">
        <v>0.5</v>
      </c>
      <c r="E33" s="11">
        <f t="shared" si="35"/>
        <v>0.1875</v>
      </c>
      <c r="F33" s="11">
        <v>0.52083333333333304</v>
      </c>
      <c r="G33" s="25">
        <v>0.66666666666666696</v>
      </c>
      <c r="H33" s="11">
        <f t="shared" si="36"/>
        <v>0.14583333333333301</v>
      </c>
      <c r="I33" s="17"/>
      <c r="J33" s="17"/>
      <c r="K33" s="11">
        <f t="shared" si="37"/>
        <v>0</v>
      </c>
      <c r="L33" s="11">
        <f t="shared" si="38"/>
        <v>0.33333333333333298</v>
      </c>
    </row>
    <row r="34" spans="1:13">
      <c r="B34" s="13" t="s">
        <v>230</v>
      </c>
      <c r="C34" s="25">
        <v>0.3125</v>
      </c>
      <c r="D34" s="11">
        <v>0.5</v>
      </c>
      <c r="E34" s="11">
        <f t="shared" si="35"/>
        <v>0.1875</v>
      </c>
      <c r="F34" s="11">
        <v>0.52083333333333304</v>
      </c>
      <c r="G34" s="25">
        <v>0.66666666666666696</v>
      </c>
      <c r="H34" s="11">
        <f t="shared" si="36"/>
        <v>0.14583333333333301</v>
      </c>
      <c r="I34" s="17"/>
      <c r="J34" s="17"/>
      <c r="K34" s="11">
        <f t="shared" si="37"/>
        <v>0</v>
      </c>
      <c r="L34" s="11">
        <f t="shared" si="38"/>
        <v>0.33333333333333298</v>
      </c>
    </row>
    <row r="35" spans="1:13">
      <c r="A35" s="3" t="s">
        <v>231</v>
      </c>
      <c r="B35" s="13" t="s">
        <v>232</v>
      </c>
      <c r="C35" s="20">
        <v>0.3125</v>
      </c>
      <c r="D35" s="11">
        <v>0.5</v>
      </c>
      <c r="E35" s="11">
        <f t="shared" si="35"/>
        <v>0.1875</v>
      </c>
      <c r="F35" s="21">
        <v>0.58333333333333304</v>
      </c>
      <c r="G35" s="20">
        <v>0.66666666666666696</v>
      </c>
      <c r="H35" s="11">
        <f t="shared" si="36"/>
        <v>8.3333333333333301E-2</v>
      </c>
      <c r="I35" s="21"/>
      <c r="J35" s="21"/>
      <c r="K35" s="11">
        <f t="shared" si="37"/>
        <v>0</v>
      </c>
      <c r="L35" s="11">
        <f t="shared" si="38"/>
        <v>0.27083333333333298</v>
      </c>
    </row>
    <row r="36" spans="1:13">
      <c r="A36" s="3" t="s">
        <v>231</v>
      </c>
      <c r="B36" s="13" t="s">
        <v>233</v>
      </c>
      <c r="C36" s="20">
        <v>0.3125</v>
      </c>
      <c r="D36" s="11">
        <v>0.5</v>
      </c>
      <c r="E36" s="11">
        <f t="shared" si="35"/>
        <v>0.1875</v>
      </c>
      <c r="F36" s="11">
        <v>0.52083333333333304</v>
      </c>
      <c r="G36" s="20">
        <v>0.66666666666666696</v>
      </c>
      <c r="H36" s="11">
        <f t="shared" si="36"/>
        <v>0.14583333333333301</v>
      </c>
      <c r="I36" s="21"/>
      <c r="J36" s="21"/>
      <c r="K36" s="11">
        <f t="shared" si="37"/>
        <v>0</v>
      </c>
      <c r="L36" s="11">
        <f t="shared" si="38"/>
        <v>0.33333333333333298</v>
      </c>
    </row>
    <row r="37" spans="1:13">
      <c r="A37" s="3" t="s">
        <v>231</v>
      </c>
      <c r="B37" s="13" t="s">
        <v>234</v>
      </c>
      <c r="C37" s="20">
        <v>0.3125</v>
      </c>
      <c r="D37" s="11">
        <v>0.5</v>
      </c>
      <c r="E37" s="11">
        <f t="shared" si="35"/>
        <v>0.1875</v>
      </c>
      <c r="F37" s="11">
        <v>0.52083333333333304</v>
      </c>
      <c r="G37" s="20">
        <v>0.66666666666666696</v>
      </c>
      <c r="H37" s="11">
        <f t="shared" si="36"/>
        <v>0.14583333333333301</v>
      </c>
      <c r="I37" s="21"/>
      <c r="J37" s="21"/>
      <c r="K37" s="11">
        <f t="shared" si="37"/>
        <v>0</v>
      </c>
      <c r="L37" s="11">
        <f t="shared" si="38"/>
        <v>0.33333333333333298</v>
      </c>
    </row>
    <row r="38" spans="1:13">
      <c r="A38" s="3" t="s">
        <v>231</v>
      </c>
      <c r="B38" s="13" t="s">
        <v>235</v>
      </c>
      <c r="C38" s="20">
        <v>0.3125</v>
      </c>
      <c r="D38" s="11">
        <v>0.5</v>
      </c>
      <c r="E38" s="11">
        <f t="shared" si="35"/>
        <v>0.1875</v>
      </c>
      <c r="F38" s="11">
        <v>0.52083333333333304</v>
      </c>
      <c r="G38" s="20">
        <v>0.66666666666666696</v>
      </c>
      <c r="H38" s="11">
        <f t="shared" si="36"/>
        <v>0.14583333333333301</v>
      </c>
      <c r="I38" s="21"/>
      <c r="J38" s="21"/>
      <c r="K38" s="11">
        <f t="shared" si="37"/>
        <v>0</v>
      </c>
      <c r="L38" s="11">
        <f t="shared" si="38"/>
        <v>0.33333333333333298</v>
      </c>
    </row>
    <row r="39" spans="1:13">
      <c r="E39" s="15">
        <f>SUM(E26:E38)</f>
        <v>2.25</v>
      </c>
      <c r="H39" s="15">
        <f>SUM(H26:H38)</f>
        <v>1.6875</v>
      </c>
      <c r="K39" s="15">
        <f>SUM(K26:K38)</f>
        <v>0</v>
      </c>
      <c r="L39" s="15">
        <f>SUM(L26:L38)</f>
        <v>3.9375</v>
      </c>
    </row>
    <row r="40" spans="1:13">
      <c r="E40" s="15"/>
      <c r="H40" s="15"/>
      <c r="K40" s="15"/>
      <c r="L40" s="15"/>
    </row>
    <row r="41" spans="1:13" ht="7.5" customHeight="1">
      <c r="G41" s="5"/>
      <c r="H41" s="6"/>
    </row>
    <row r="42" spans="1:13">
      <c r="C42" s="2" t="s">
        <v>216</v>
      </c>
      <c r="G42" s="5" t="s">
        <v>34</v>
      </c>
      <c r="H42" s="6">
        <f>+H23+1</f>
        <v>46246</v>
      </c>
    </row>
    <row r="43" spans="1:13">
      <c r="C43" s="168" t="s">
        <v>3</v>
      </c>
      <c r="D43" s="168"/>
      <c r="E43" s="168"/>
      <c r="F43" s="169" t="s">
        <v>4</v>
      </c>
      <c r="G43" s="169"/>
      <c r="H43" s="169"/>
      <c r="I43" s="170" t="s">
        <v>5</v>
      </c>
      <c r="J43" s="170"/>
      <c r="K43" s="170"/>
    </row>
    <row r="44" spans="1:13">
      <c r="B44" s="7" t="s">
        <v>6</v>
      </c>
      <c r="C44" s="8" t="s">
        <v>7</v>
      </c>
      <c r="D44" s="8" t="s">
        <v>8</v>
      </c>
      <c r="E44" s="8" t="s">
        <v>9</v>
      </c>
      <c r="F44" s="9" t="s">
        <v>7</v>
      </c>
      <c r="G44" s="9" t="s">
        <v>8</v>
      </c>
      <c r="H44" s="9" t="s">
        <v>9</v>
      </c>
      <c r="I44" s="16" t="s">
        <v>7</v>
      </c>
      <c r="J44" s="16" t="s">
        <v>8</v>
      </c>
      <c r="K44" s="16" t="s">
        <v>9</v>
      </c>
      <c r="L44" s="7" t="s">
        <v>10</v>
      </c>
    </row>
    <row r="45" spans="1:13">
      <c r="A45" s="3" t="s">
        <v>217</v>
      </c>
      <c r="B45" s="10" t="s">
        <v>218</v>
      </c>
      <c r="C45" s="25">
        <v>0.3125</v>
      </c>
      <c r="D45" s="11">
        <v>0.5</v>
      </c>
      <c r="E45" s="11">
        <f t="shared" ref="E45:E46" si="43">IF(D45&gt;C45,D45-C45,C45-D45)</f>
        <v>0.1875</v>
      </c>
      <c r="F45" s="11">
        <v>0.52083333333333304</v>
      </c>
      <c r="G45" s="25">
        <v>0.66666666666666696</v>
      </c>
      <c r="H45" s="11">
        <f t="shared" ref="H45:H46" si="44">IF(G45&gt;F45,G45-F45,F45-G45)</f>
        <v>0.14583333333333301</v>
      </c>
      <c r="I45" s="17"/>
      <c r="J45" s="17"/>
      <c r="K45" s="11">
        <f t="shared" ref="K45:K46" si="45">IF(J45&gt;I45,J45-I45,I45-J45)</f>
        <v>0</v>
      </c>
      <c r="L45" s="11">
        <f t="shared" ref="L45:L46" si="46">E45+H45+K45</f>
        <v>0.33333333333333298</v>
      </c>
    </row>
    <row r="46" spans="1:13">
      <c r="A46" s="3" t="s">
        <v>219</v>
      </c>
      <c r="B46" s="10" t="s">
        <v>220</v>
      </c>
      <c r="C46" s="25">
        <v>0.29166666666666702</v>
      </c>
      <c r="D46" s="11">
        <v>0.5</v>
      </c>
      <c r="E46" s="11">
        <f t="shared" si="43"/>
        <v>0.20833333333333301</v>
      </c>
      <c r="F46" s="11">
        <v>0.52083333333333304</v>
      </c>
      <c r="G46" s="25">
        <v>0.64583333333333304</v>
      </c>
      <c r="H46" s="11">
        <f t="shared" si="44"/>
        <v>0.125</v>
      </c>
      <c r="I46" s="17"/>
      <c r="J46" s="17"/>
      <c r="K46" s="11">
        <f t="shared" si="45"/>
        <v>0</v>
      </c>
      <c r="L46" s="11">
        <f t="shared" si="46"/>
        <v>0.33333333333333298</v>
      </c>
    </row>
    <row r="47" spans="1:13">
      <c r="A47" s="3" t="s">
        <v>221</v>
      </c>
      <c r="B47" s="10" t="s">
        <v>222</v>
      </c>
      <c r="C47" s="25">
        <v>0.3125</v>
      </c>
      <c r="D47" s="11">
        <v>0.5</v>
      </c>
      <c r="E47" s="11">
        <f t="shared" ref="E47" si="47">IF(D47&gt;C47,D47-C47,C47-D47)</f>
        <v>0.1875</v>
      </c>
      <c r="F47" s="11">
        <v>0.52083333333333304</v>
      </c>
      <c r="G47" s="25">
        <v>0.66666666666666696</v>
      </c>
      <c r="H47" s="11">
        <f t="shared" ref="H47" si="48">IF(G47&gt;F47,G47-F47,F47-G47)</f>
        <v>0.14583333333333301</v>
      </c>
      <c r="I47" s="17"/>
      <c r="J47" s="17"/>
      <c r="K47" s="11">
        <f t="shared" ref="K47" si="49">IF(J47&gt;I47,J47-I47,I47-J47)</f>
        <v>0</v>
      </c>
      <c r="L47" s="11">
        <f t="shared" ref="L47" si="50">E47+H47+K47</f>
        <v>0.33333333333333298</v>
      </c>
    </row>
    <row r="48" spans="1:13">
      <c r="A48" s="3" t="s">
        <v>223</v>
      </c>
      <c r="B48" s="10" t="s">
        <v>224</v>
      </c>
      <c r="C48" s="19"/>
      <c r="D48" s="19"/>
      <c r="E48" s="19">
        <f t="shared" ref="E48:E49" si="51">IF(D48&gt;C48,D48-C48,C48-D48)</f>
        <v>0</v>
      </c>
      <c r="F48" s="19"/>
      <c r="G48" s="19"/>
      <c r="H48" s="19">
        <f t="shared" ref="H48:H49" si="52">IF(G48&gt;F48,G48-F48,F48-G48)</f>
        <v>0</v>
      </c>
      <c r="I48" s="22"/>
      <c r="J48" s="22"/>
      <c r="K48" s="19">
        <f t="shared" ref="K48:K49" si="53">IF(J48&gt;I48,J48-I48,I48-J48)</f>
        <v>0</v>
      </c>
      <c r="L48" s="11">
        <f t="shared" ref="L48:L49" si="54">E48+H48+K48</f>
        <v>0</v>
      </c>
      <c r="M48" t="s">
        <v>25</v>
      </c>
    </row>
    <row r="49" spans="1:13">
      <c r="A49" s="3" t="s">
        <v>225</v>
      </c>
      <c r="B49" s="10" t="s">
        <v>121</v>
      </c>
      <c r="C49" s="25">
        <v>0.29166666666666702</v>
      </c>
      <c r="D49" s="11">
        <v>0.5</v>
      </c>
      <c r="E49" s="11">
        <f t="shared" si="51"/>
        <v>0.20833333333333301</v>
      </c>
      <c r="F49" s="11">
        <v>0.52083333333333304</v>
      </c>
      <c r="G49" s="25">
        <v>0.64583333333333304</v>
      </c>
      <c r="H49" s="11">
        <f t="shared" si="52"/>
        <v>0.125</v>
      </c>
      <c r="I49" s="17"/>
      <c r="J49" s="17"/>
      <c r="K49" s="11">
        <f t="shared" si="53"/>
        <v>0</v>
      </c>
      <c r="L49" s="11">
        <f t="shared" si="54"/>
        <v>0.33333333333333298</v>
      </c>
    </row>
    <row r="50" spans="1:13">
      <c r="A50" s="3" t="s">
        <v>226</v>
      </c>
      <c r="B50" s="10" t="s">
        <v>227</v>
      </c>
      <c r="C50" s="25">
        <v>0.33333333333333298</v>
      </c>
      <c r="D50" s="11">
        <v>0.5</v>
      </c>
      <c r="E50" s="11">
        <f t="shared" ref="E50:E55" si="55">IF(D50&gt;C50,D50-C50,C50-D50)</f>
        <v>0.16666666666666699</v>
      </c>
      <c r="F50" s="11">
        <v>0.52083333333333304</v>
      </c>
      <c r="G50" s="25">
        <v>0.6875</v>
      </c>
      <c r="H50" s="11">
        <f t="shared" ref="H50:H55" si="56">IF(G50&gt;F50,G50-F50,F50-G50)</f>
        <v>0.16666666666666699</v>
      </c>
      <c r="I50" s="17"/>
      <c r="J50" s="17"/>
      <c r="K50" s="11">
        <f t="shared" ref="K50:K55" si="57">IF(J50&gt;I50,J50-I50,I50-J50)</f>
        <v>0</v>
      </c>
      <c r="L50" s="11">
        <f t="shared" ref="L50:L55" si="58">E50+H50+K50</f>
        <v>0.33333333333333298</v>
      </c>
    </row>
    <row r="51" spans="1:13">
      <c r="A51" s="3" t="s">
        <v>228</v>
      </c>
      <c r="B51" s="13" t="s">
        <v>229</v>
      </c>
      <c r="C51" s="25">
        <v>0.3125</v>
      </c>
      <c r="D51" s="11">
        <v>0.5</v>
      </c>
      <c r="E51" s="11">
        <f t="shared" si="55"/>
        <v>0.1875</v>
      </c>
      <c r="F51" s="11">
        <v>0.52083333333333304</v>
      </c>
      <c r="G51" s="25">
        <v>0.66666666666666696</v>
      </c>
      <c r="H51" s="11">
        <f t="shared" si="56"/>
        <v>0.14583333333333301</v>
      </c>
      <c r="I51" s="17"/>
      <c r="J51" s="17"/>
      <c r="K51" s="11">
        <f t="shared" si="57"/>
        <v>0</v>
      </c>
      <c r="L51" s="11">
        <f t="shared" si="58"/>
        <v>0.33333333333333298</v>
      </c>
    </row>
    <row r="52" spans="1:13">
      <c r="A52" s="3" t="s">
        <v>228</v>
      </c>
      <c r="B52" s="13" t="s">
        <v>14</v>
      </c>
      <c r="C52" s="25">
        <v>0.3125</v>
      </c>
      <c r="D52" s="11">
        <v>0.5</v>
      </c>
      <c r="E52" s="11">
        <f t="shared" si="55"/>
        <v>0.1875</v>
      </c>
      <c r="F52" s="11">
        <v>0.52083333333333304</v>
      </c>
      <c r="G52" s="25">
        <v>0.66666666666666696</v>
      </c>
      <c r="H52" s="11">
        <f t="shared" si="56"/>
        <v>0.14583333333333301</v>
      </c>
      <c r="I52" s="17"/>
      <c r="J52" s="17"/>
      <c r="K52" s="11">
        <f t="shared" si="57"/>
        <v>0</v>
      </c>
      <c r="L52" s="11">
        <f t="shared" si="58"/>
        <v>0.33333333333333298</v>
      </c>
    </row>
    <row r="53" spans="1:13">
      <c r="B53" s="13" t="s">
        <v>230</v>
      </c>
      <c r="C53" s="19"/>
      <c r="D53" s="19"/>
      <c r="E53" s="19">
        <f t="shared" si="55"/>
        <v>0</v>
      </c>
      <c r="F53" s="19"/>
      <c r="G53" s="19"/>
      <c r="H53" s="19">
        <f t="shared" si="56"/>
        <v>0</v>
      </c>
      <c r="I53" s="22"/>
      <c r="J53" s="22"/>
      <c r="K53" s="19">
        <f t="shared" si="57"/>
        <v>0</v>
      </c>
      <c r="L53" s="11">
        <f t="shared" si="58"/>
        <v>0</v>
      </c>
      <c r="M53" t="s">
        <v>25</v>
      </c>
    </row>
    <row r="54" spans="1:13">
      <c r="A54" s="3" t="s">
        <v>231</v>
      </c>
      <c r="B54" s="13" t="s">
        <v>232</v>
      </c>
      <c r="C54" s="20"/>
      <c r="D54" s="11"/>
      <c r="E54" s="11">
        <f t="shared" si="55"/>
        <v>0</v>
      </c>
      <c r="F54" s="21"/>
      <c r="G54" s="20"/>
      <c r="H54" s="11">
        <f t="shared" si="56"/>
        <v>0</v>
      </c>
      <c r="I54" s="21"/>
      <c r="J54" s="21"/>
      <c r="K54" s="11">
        <f t="shared" si="57"/>
        <v>0</v>
      </c>
      <c r="L54" s="11">
        <f t="shared" si="58"/>
        <v>0</v>
      </c>
    </row>
    <row r="55" spans="1:13">
      <c r="A55" s="3" t="s">
        <v>231</v>
      </c>
      <c r="B55" s="13" t="s">
        <v>233</v>
      </c>
      <c r="C55" s="20"/>
      <c r="D55" s="11"/>
      <c r="E55" s="11">
        <f t="shared" si="55"/>
        <v>0</v>
      </c>
      <c r="F55" s="11"/>
      <c r="G55" s="20"/>
      <c r="H55" s="11">
        <f t="shared" si="56"/>
        <v>0</v>
      </c>
      <c r="I55" s="21"/>
      <c r="J55" s="21"/>
      <c r="K55" s="11">
        <f t="shared" si="57"/>
        <v>0</v>
      </c>
      <c r="L55" s="11">
        <f t="shared" si="58"/>
        <v>0</v>
      </c>
    </row>
    <row r="56" spans="1:13">
      <c r="A56" s="3" t="s">
        <v>231</v>
      </c>
      <c r="B56" s="13" t="s">
        <v>234</v>
      </c>
      <c r="C56" s="20"/>
      <c r="D56" s="11"/>
      <c r="E56" s="11">
        <f t="shared" ref="E56:E57" si="59">IF(D56&gt;C56,D56-C56,C56-D56)</f>
        <v>0</v>
      </c>
      <c r="F56" s="21"/>
      <c r="G56" s="20"/>
      <c r="H56" s="11">
        <f t="shared" ref="H56:H57" si="60">IF(G56&gt;F56,G56-F56,F56-G56)</f>
        <v>0</v>
      </c>
      <c r="I56" s="21"/>
      <c r="J56" s="21"/>
      <c r="K56" s="11">
        <f t="shared" ref="K56:K57" si="61">IF(J56&gt;I56,J56-I56,I56-J56)</f>
        <v>0</v>
      </c>
      <c r="L56" s="11">
        <f t="shared" ref="L56:L57" si="62">E56+H56+K56</f>
        <v>0</v>
      </c>
    </row>
    <row r="57" spans="1:13">
      <c r="A57" s="3" t="s">
        <v>231</v>
      </c>
      <c r="B57" s="13" t="s">
        <v>235</v>
      </c>
      <c r="C57" s="20"/>
      <c r="D57" s="11"/>
      <c r="E57" s="11">
        <f t="shared" si="59"/>
        <v>0</v>
      </c>
      <c r="F57" s="21"/>
      <c r="G57" s="20"/>
      <c r="H57" s="11">
        <f t="shared" si="60"/>
        <v>0</v>
      </c>
      <c r="I57" s="21"/>
      <c r="J57" s="21"/>
      <c r="K57" s="11">
        <f t="shared" si="61"/>
        <v>0</v>
      </c>
      <c r="L57" s="11">
        <f t="shared" si="62"/>
        <v>0</v>
      </c>
    </row>
    <row r="58" spans="1:13">
      <c r="E58" s="15">
        <f>SUM(E45:E57)</f>
        <v>1.3333333333333299</v>
      </c>
      <c r="H58" s="15">
        <f>SUM(H45:H56)</f>
        <v>1</v>
      </c>
      <c r="K58" s="15">
        <f>SUM(K45:K57)</f>
        <v>0</v>
      </c>
      <c r="L58" s="15">
        <f>SUM(L45:L57)</f>
        <v>2.3333333333333299</v>
      </c>
    </row>
    <row r="60" spans="1:13">
      <c r="C60" s="2" t="s">
        <v>216</v>
      </c>
      <c r="G60" s="5" t="s">
        <v>35</v>
      </c>
      <c r="H60" s="6">
        <f>+H42+1</f>
        <v>46247</v>
      </c>
    </row>
    <row r="61" spans="1:13">
      <c r="C61" s="168" t="s">
        <v>3</v>
      </c>
      <c r="D61" s="168"/>
      <c r="E61" s="168"/>
      <c r="F61" s="169" t="s">
        <v>4</v>
      </c>
      <c r="G61" s="169"/>
      <c r="H61" s="169"/>
      <c r="I61" s="170" t="s">
        <v>5</v>
      </c>
      <c r="J61" s="170"/>
      <c r="K61" s="170"/>
    </row>
    <row r="62" spans="1:13">
      <c r="B62" s="7" t="s">
        <v>6</v>
      </c>
      <c r="C62" s="8" t="s">
        <v>7</v>
      </c>
      <c r="D62" s="8" t="s">
        <v>8</v>
      </c>
      <c r="E62" s="8" t="s">
        <v>9</v>
      </c>
      <c r="F62" s="9" t="s">
        <v>7</v>
      </c>
      <c r="G62" s="9" t="s">
        <v>8</v>
      </c>
      <c r="H62" s="9" t="s">
        <v>9</v>
      </c>
      <c r="I62" s="16" t="s">
        <v>7</v>
      </c>
      <c r="J62" s="16" t="s">
        <v>8</v>
      </c>
      <c r="K62" s="16" t="s">
        <v>9</v>
      </c>
      <c r="L62" s="7" t="s">
        <v>10</v>
      </c>
    </row>
    <row r="63" spans="1:13">
      <c r="A63" s="3" t="s">
        <v>217</v>
      </c>
      <c r="B63" s="10" t="s">
        <v>218</v>
      </c>
      <c r="C63" s="25">
        <v>0.3125</v>
      </c>
      <c r="D63" s="11">
        <v>0.5</v>
      </c>
      <c r="E63" s="11">
        <f t="shared" ref="E63" si="63">IF(D63&gt;C63,D63-C63,C63-D63)</f>
        <v>0.1875</v>
      </c>
      <c r="F63" s="11">
        <v>0.52083333333333304</v>
      </c>
      <c r="G63" s="25">
        <v>0.70833333333333304</v>
      </c>
      <c r="H63" s="11">
        <f t="shared" ref="H63" si="64">IF(G63&gt;F63,G63-F63,F63-G63)</f>
        <v>0.1875</v>
      </c>
      <c r="I63" s="17"/>
      <c r="J63" s="17"/>
      <c r="K63" s="11">
        <f t="shared" ref="K63" si="65">IF(J63&gt;I63,J63-I63,I63-J63)</f>
        <v>0</v>
      </c>
      <c r="L63" s="11">
        <f t="shared" ref="L63" si="66">E63+H63+K63</f>
        <v>0.375</v>
      </c>
    </row>
    <row r="64" spans="1:13">
      <c r="A64" s="3" t="s">
        <v>219</v>
      </c>
      <c r="B64" s="10" t="s">
        <v>220</v>
      </c>
      <c r="C64" s="25">
        <v>0.29166666666666702</v>
      </c>
      <c r="D64" s="11">
        <v>0.5</v>
      </c>
      <c r="E64" s="11">
        <f t="shared" ref="E64:E65" si="67">IF(D64&gt;C64,D64-C64,C64-D64)</f>
        <v>0.20833333333333301</v>
      </c>
      <c r="F64" s="11">
        <v>0.52083333333333304</v>
      </c>
      <c r="G64" s="25">
        <v>0.64583333333333304</v>
      </c>
      <c r="H64" s="11">
        <f t="shared" ref="H64:H65" si="68">IF(G64&gt;F64,G64-F64,F64-G64)</f>
        <v>0.125</v>
      </c>
      <c r="I64" s="17"/>
      <c r="J64" s="17"/>
      <c r="K64" s="11">
        <f t="shared" ref="K64:K65" si="69">IF(J64&gt;I64,J64-I64,I64-J64)</f>
        <v>0</v>
      </c>
      <c r="L64" s="11">
        <f t="shared" ref="L64:L65" si="70">E64+H64+K64</f>
        <v>0.33333333333333298</v>
      </c>
    </row>
    <row r="65" spans="1:13">
      <c r="A65" s="3" t="s">
        <v>221</v>
      </c>
      <c r="B65" s="10" t="s">
        <v>222</v>
      </c>
      <c r="C65" s="25">
        <v>0.3125</v>
      </c>
      <c r="D65" s="11">
        <v>0.5</v>
      </c>
      <c r="E65" s="11">
        <f t="shared" si="67"/>
        <v>0.1875</v>
      </c>
      <c r="F65" s="11">
        <v>0.52083333333333304</v>
      </c>
      <c r="G65" s="25">
        <v>0.66666666666666696</v>
      </c>
      <c r="H65" s="11">
        <f t="shared" si="68"/>
        <v>0.14583333333333301</v>
      </c>
      <c r="I65" s="17"/>
      <c r="J65" s="17"/>
      <c r="K65" s="11">
        <f t="shared" si="69"/>
        <v>0</v>
      </c>
      <c r="L65" s="11">
        <f t="shared" si="70"/>
        <v>0.33333333333333298</v>
      </c>
      <c r="M65" t="s">
        <v>25</v>
      </c>
    </row>
    <row r="66" spans="1:13">
      <c r="A66" s="3" t="s">
        <v>223</v>
      </c>
      <c r="B66" s="10" t="s">
        <v>224</v>
      </c>
      <c r="C66" s="25">
        <v>0.3125</v>
      </c>
      <c r="D66" s="11">
        <v>0.5</v>
      </c>
      <c r="E66" s="11">
        <f t="shared" ref="E66:E75" si="71">IF(D66&gt;C66,D66-C66,C66-D66)</f>
        <v>0.1875</v>
      </c>
      <c r="F66" s="11">
        <v>0.52083333333333304</v>
      </c>
      <c r="G66" s="25">
        <v>0.66666666666666696</v>
      </c>
      <c r="H66" s="11">
        <f t="shared" ref="H66:H75" si="72">IF(G66&gt;F66,G66-F66,F66-G66)</f>
        <v>0.14583333333333301</v>
      </c>
      <c r="I66" s="17"/>
      <c r="J66" s="17"/>
      <c r="K66" s="11">
        <f t="shared" ref="K66:K75" si="73">IF(J66&gt;I66,J66-I66,I66-J66)</f>
        <v>0</v>
      </c>
      <c r="L66" s="11">
        <f t="shared" ref="L66:L75" si="74">E66+H66+K66</f>
        <v>0.33333333333333298</v>
      </c>
    </row>
    <row r="67" spans="1:13">
      <c r="A67" s="3" t="s">
        <v>225</v>
      </c>
      <c r="B67" s="10" t="s">
        <v>121</v>
      </c>
      <c r="C67" s="25">
        <v>0.29166666666666702</v>
      </c>
      <c r="D67" s="11">
        <v>0.5</v>
      </c>
      <c r="E67" s="11">
        <f t="shared" si="71"/>
        <v>0.20833333333333301</v>
      </c>
      <c r="F67" s="11">
        <v>0.52083333333333304</v>
      </c>
      <c r="G67" s="25">
        <v>0.64583333333333304</v>
      </c>
      <c r="H67" s="11">
        <f t="shared" si="72"/>
        <v>0.125</v>
      </c>
      <c r="I67" s="17"/>
      <c r="J67" s="17"/>
      <c r="K67" s="11">
        <f t="shared" si="73"/>
        <v>0</v>
      </c>
      <c r="L67" s="11">
        <f t="shared" si="74"/>
        <v>0.33333333333333298</v>
      </c>
      <c r="M67" t="s">
        <v>25</v>
      </c>
    </row>
    <row r="68" spans="1:13">
      <c r="A68" s="3" t="s">
        <v>226</v>
      </c>
      <c r="B68" s="10" t="s">
        <v>227</v>
      </c>
      <c r="C68" s="25">
        <v>0.33333333333333298</v>
      </c>
      <c r="D68" s="11">
        <v>0.5</v>
      </c>
      <c r="E68" s="11">
        <f t="shared" si="71"/>
        <v>0.16666666666666699</v>
      </c>
      <c r="F68" s="11">
        <v>0.52083333333333304</v>
      </c>
      <c r="G68" s="25">
        <v>0.64583333333333304</v>
      </c>
      <c r="H68" s="11">
        <f t="shared" si="72"/>
        <v>0.125</v>
      </c>
      <c r="I68" s="17"/>
      <c r="J68" s="17"/>
      <c r="K68" s="11">
        <f t="shared" si="73"/>
        <v>0</v>
      </c>
      <c r="L68" s="11">
        <f t="shared" si="74"/>
        <v>0.29166666666666702</v>
      </c>
    </row>
    <row r="69" spans="1:13">
      <c r="A69" s="3" t="s">
        <v>228</v>
      </c>
      <c r="B69" s="13" t="s">
        <v>229</v>
      </c>
      <c r="C69" s="19"/>
      <c r="D69" s="19"/>
      <c r="E69" s="19">
        <f t="shared" si="71"/>
        <v>0</v>
      </c>
      <c r="F69" s="19"/>
      <c r="G69" s="19"/>
      <c r="H69" s="19">
        <f t="shared" si="72"/>
        <v>0</v>
      </c>
      <c r="I69" s="22"/>
      <c r="J69" s="22"/>
      <c r="K69" s="19">
        <f t="shared" si="73"/>
        <v>0</v>
      </c>
      <c r="L69" s="11">
        <f t="shared" si="74"/>
        <v>0</v>
      </c>
      <c r="M69" t="s">
        <v>25</v>
      </c>
    </row>
    <row r="70" spans="1:13">
      <c r="A70" s="3" t="s">
        <v>228</v>
      </c>
      <c r="B70" s="13" t="s">
        <v>14</v>
      </c>
      <c r="C70" s="19"/>
      <c r="D70" s="19"/>
      <c r="E70" s="19">
        <f t="shared" ref="E70" si="75">IF(D70&gt;C70,D70-C70,C70-D70)</f>
        <v>0</v>
      </c>
      <c r="F70" s="19"/>
      <c r="G70" s="19"/>
      <c r="H70" s="19">
        <f t="shared" ref="H70" si="76">IF(G70&gt;F70,G70-F70,F70-G70)</f>
        <v>0</v>
      </c>
      <c r="I70" s="22"/>
      <c r="J70" s="22"/>
      <c r="K70" s="19">
        <f t="shared" ref="K70" si="77">IF(J70&gt;I70,J70-I70,I70-J70)</f>
        <v>0</v>
      </c>
      <c r="L70" s="11">
        <f t="shared" ref="L70" si="78">E70+H70+K70</f>
        <v>0</v>
      </c>
      <c r="M70" t="s">
        <v>25</v>
      </c>
    </row>
    <row r="71" spans="1:13">
      <c r="B71" s="13" t="s">
        <v>230</v>
      </c>
      <c r="C71" s="25">
        <v>0.3125</v>
      </c>
      <c r="D71" s="11">
        <v>0.5</v>
      </c>
      <c r="E71" s="11">
        <f t="shared" si="71"/>
        <v>0.1875</v>
      </c>
      <c r="F71" s="11">
        <v>0.52083333333333304</v>
      </c>
      <c r="G71" s="25">
        <v>0.66666666666666696</v>
      </c>
      <c r="H71" s="11">
        <f t="shared" si="72"/>
        <v>0.14583333333333301</v>
      </c>
      <c r="I71" s="17"/>
      <c r="J71" s="17"/>
      <c r="K71" s="11">
        <f t="shared" si="73"/>
        <v>0</v>
      </c>
      <c r="L71" s="11">
        <f t="shared" si="74"/>
        <v>0.33333333333333298</v>
      </c>
    </row>
    <row r="72" spans="1:13">
      <c r="A72" s="3" t="s">
        <v>231</v>
      </c>
      <c r="B72" s="13" t="s">
        <v>232</v>
      </c>
      <c r="C72" s="20">
        <v>0.3125</v>
      </c>
      <c r="D72" s="11">
        <v>0.5</v>
      </c>
      <c r="E72" s="11">
        <f t="shared" si="71"/>
        <v>0.1875</v>
      </c>
      <c r="F72" s="21">
        <v>0.60416666666666696</v>
      </c>
      <c r="G72" s="20">
        <v>0.66666666666666696</v>
      </c>
      <c r="H72" s="11">
        <f t="shared" si="72"/>
        <v>6.25E-2</v>
      </c>
      <c r="I72" s="21"/>
      <c r="J72" s="21"/>
      <c r="K72" s="11">
        <f t="shared" si="73"/>
        <v>0</v>
      </c>
      <c r="L72" s="11">
        <f t="shared" si="74"/>
        <v>0.25</v>
      </c>
    </row>
    <row r="73" spans="1:13">
      <c r="A73" s="3" t="s">
        <v>231</v>
      </c>
      <c r="B73" s="13" t="s">
        <v>233</v>
      </c>
      <c r="C73" s="20">
        <v>0.3125</v>
      </c>
      <c r="D73" s="11">
        <v>0.5</v>
      </c>
      <c r="E73" s="11">
        <f t="shared" si="71"/>
        <v>0.1875</v>
      </c>
      <c r="F73" s="11">
        <v>0.52083333333333304</v>
      </c>
      <c r="G73" s="20">
        <v>0.66666666666666696</v>
      </c>
      <c r="H73" s="11">
        <f t="shared" si="72"/>
        <v>0.14583333333333301</v>
      </c>
      <c r="I73" s="21"/>
      <c r="J73" s="21"/>
      <c r="K73" s="11">
        <f t="shared" si="73"/>
        <v>0</v>
      </c>
      <c r="L73" s="11">
        <f t="shared" si="74"/>
        <v>0.33333333333333298</v>
      </c>
    </row>
    <row r="74" spans="1:13" ht="18" customHeight="1">
      <c r="A74" s="3" t="s">
        <v>231</v>
      </c>
      <c r="B74" s="13" t="s">
        <v>234</v>
      </c>
      <c r="C74" s="20">
        <v>0.3125</v>
      </c>
      <c r="D74" s="11">
        <v>0.5</v>
      </c>
      <c r="E74" s="11">
        <f t="shared" ref="E74" si="79">IF(D74&gt;C74,D74-C74,C74-D74)</f>
        <v>0.1875</v>
      </c>
      <c r="F74" s="11">
        <v>0.52083333333333304</v>
      </c>
      <c r="G74" s="20">
        <v>0.66666666666666696</v>
      </c>
      <c r="H74" s="11">
        <f t="shared" ref="H74" si="80">IF(G74&gt;F74,G74-F74,F74-G74)</f>
        <v>0.14583333333333301</v>
      </c>
      <c r="I74" s="21"/>
      <c r="J74" s="21"/>
      <c r="K74" s="11">
        <f t="shared" ref="K74" si="81">IF(J74&gt;I74,J74-I74,I74-J74)</f>
        <v>0</v>
      </c>
      <c r="L74" s="11">
        <f t="shared" ref="L74" si="82">E74+H74+K74</f>
        <v>0.33333333333333298</v>
      </c>
    </row>
    <row r="75" spans="1:13" ht="18" customHeight="1">
      <c r="A75" s="3" t="s">
        <v>231</v>
      </c>
      <c r="B75" s="13" t="s">
        <v>235</v>
      </c>
      <c r="C75" s="20">
        <v>0.3125</v>
      </c>
      <c r="D75" s="11">
        <v>0.5</v>
      </c>
      <c r="E75" s="11">
        <f t="shared" si="71"/>
        <v>0.1875</v>
      </c>
      <c r="F75" s="11">
        <v>0.52083333333333304</v>
      </c>
      <c r="G75" s="20">
        <v>0.66666666666666696</v>
      </c>
      <c r="H75" s="11">
        <f t="shared" si="72"/>
        <v>0.14583333333333301</v>
      </c>
      <c r="I75" s="21"/>
      <c r="J75" s="21"/>
      <c r="K75" s="11">
        <f t="shared" si="73"/>
        <v>0</v>
      </c>
      <c r="L75" s="11">
        <f t="shared" si="74"/>
        <v>0.33333333333333298</v>
      </c>
    </row>
    <row r="76" spans="1:13">
      <c r="E76" s="15">
        <f>SUM(E63:E75)</f>
        <v>2.0833333333333299</v>
      </c>
      <c r="H76" s="15">
        <f>SUM(H63:H75)</f>
        <v>1.5</v>
      </c>
      <c r="K76" s="15">
        <f>SUM(K63:K75)</f>
        <v>0</v>
      </c>
      <c r="L76" s="15">
        <f>SUM(L63:L75)</f>
        <v>3.5833333333333299</v>
      </c>
    </row>
    <row r="78" spans="1:13">
      <c r="C78" s="2" t="s">
        <v>216</v>
      </c>
      <c r="G78" s="5" t="s">
        <v>36</v>
      </c>
      <c r="H78" s="6">
        <f>+H60+1</f>
        <v>46248</v>
      </c>
    </row>
    <row r="79" spans="1:13">
      <c r="C79" s="168" t="s">
        <v>3</v>
      </c>
      <c r="D79" s="168"/>
      <c r="E79" s="168"/>
      <c r="F79" s="169" t="s">
        <v>4</v>
      </c>
      <c r="G79" s="169"/>
      <c r="H79" s="169"/>
      <c r="I79" s="170" t="s">
        <v>5</v>
      </c>
      <c r="J79" s="170"/>
      <c r="K79" s="170"/>
    </row>
    <row r="80" spans="1:13">
      <c r="B80" s="7" t="s">
        <v>6</v>
      </c>
      <c r="C80" s="8" t="s">
        <v>7</v>
      </c>
      <c r="D80" s="8" t="s">
        <v>8</v>
      </c>
      <c r="E80" s="8" t="s">
        <v>9</v>
      </c>
      <c r="F80" s="9" t="s">
        <v>7</v>
      </c>
      <c r="G80" s="9" t="s">
        <v>8</v>
      </c>
      <c r="H80" s="9" t="s">
        <v>9</v>
      </c>
      <c r="I80" s="16" t="s">
        <v>7</v>
      </c>
      <c r="J80" s="16" t="s">
        <v>8</v>
      </c>
      <c r="K80" s="16" t="s">
        <v>9</v>
      </c>
      <c r="L80" s="7" t="s">
        <v>10</v>
      </c>
    </row>
    <row r="81" spans="1:13">
      <c r="A81" s="3" t="s">
        <v>217</v>
      </c>
      <c r="B81" s="10" t="s">
        <v>218</v>
      </c>
      <c r="C81" s="19"/>
      <c r="D81" s="19"/>
      <c r="E81" s="19">
        <f t="shared" ref="E81" si="83">IF(D81&gt;C81,D81-C81,C81-D81)</f>
        <v>0</v>
      </c>
      <c r="F81" s="19"/>
      <c r="G81" s="19"/>
      <c r="H81" s="19">
        <f t="shared" ref="H81" si="84">IF(G81&gt;F81,G81-F81,F81-G81)</f>
        <v>0</v>
      </c>
      <c r="I81" s="22"/>
      <c r="J81" s="22"/>
      <c r="K81" s="19">
        <f t="shared" ref="K81" si="85">IF(J81&gt;I81,J81-I81,I81-J81)</f>
        <v>0</v>
      </c>
      <c r="L81" s="11">
        <f t="shared" ref="L81" si="86">E81+H81+K81</f>
        <v>0</v>
      </c>
      <c r="M81" t="s">
        <v>25</v>
      </c>
    </row>
    <row r="82" spans="1:13">
      <c r="A82" s="3" t="s">
        <v>219</v>
      </c>
      <c r="B82" s="10" t="s">
        <v>220</v>
      </c>
      <c r="C82" s="25">
        <v>0.29166666666666702</v>
      </c>
      <c r="D82" s="11">
        <v>0.5</v>
      </c>
      <c r="E82" s="11">
        <f t="shared" ref="E82:E84" si="87">IF(D82&gt;C82,D82-C82,C82-D82)</f>
        <v>0.20833333333333301</v>
      </c>
      <c r="F82" s="11">
        <v>0.52083333333333304</v>
      </c>
      <c r="G82" s="25">
        <v>0.64583333333333304</v>
      </c>
      <c r="H82" s="11">
        <f t="shared" ref="H82:H84" si="88">IF(G82&gt;F82,G82-F82,F82-G82)</f>
        <v>0.125</v>
      </c>
      <c r="I82" s="17"/>
      <c r="J82" s="17"/>
      <c r="K82" s="11">
        <f t="shared" ref="K82:K84" si="89">IF(J82&gt;I82,J82-I82,I82-J82)</f>
        <v>0</v>
      </c>
      <c r="L82" s="11">
        <f t="shared" ref="L82:L84" si="90">E82+H82+K82</f>
        <v>0.33333333333333298</v>
      </c>
    </row>
    <row r="83" spans="1:13">
      <c r="A83" s="3" t="s">
        <v>221</v>
      </c>
      <c r="B83" s="10" t="s">
        <v>222</v>
      </c>
      <c r="C83" s="25">
        <v>0.3125</v>
      </c>
      <c r="D83" s="11">
        <v>0.5</v>
      </c>
      <c r="E83" s="11">
        <f t="shared" si="87"/>
        <v>0.1875</v>
      </c>
      <c r="F83" s="11">
        <v>0.52083333333333304</v>
      </c>
      <c r="G83" s="25">
        <v>0.66666666666666696</v>
      </c>
      <c r="H83" s="11">
        <f t="shared" si="88"/>
        <v>0.14583333333333301</v>
      </c>
      <c r="I83" s="17"/>
      <c r="J83" s="17"/>
      <c r="K83" s="11">
        <f t="shared" si="89"/>
        <v>0</v>
      </c>
      <c r="L83" s="11">
        <f t="shared" si="90"/>
        <v>0.33333333333333298</v>
      </c>
    </row>
    <row r="84" spans="1:13">
      <c r="A84" s="3" t="s">
        <v>223</v>
      </c>
      <c r="B84" s="10" t="s">
        <v>224</v>
      </c>
      <c r="C84" s="25">
        <v>0.3125</v>
      </c>
      <c r="D84" s="11">
        <v>0.5</v>
      </c>
      <c r="E84" s="11">
        <f t="shared" si="87"/>
        <v>0.1875</v>
      </c>
      <c r="F84" s="11">
        <v>0.52083333333333304</v>
      </c>
      <c r="G84" s="25">
        <v>0.66666666666666696</v>
      </c>
      <c r="H84" s="11">
        <f t="shared" si="88"/>
        <v>0.14583333333333301</v>
      </c>
      <c r="I84" s="17"/>
      <c r="J84" s="17"/>
      <c r="K84" s="11">
        <f t="shared" si="89"/>
        <v>0</v>
      </c>
      <c r="L84" s="11">
        <f t="shared" si="90"/>
        <v>0.33333333333333298</v>
      </c>
    </row>
    <row r="85" spans="1:13">
      <c r="A85" s="3" t="s">
        <v>225</v>
      </c>
      <c r="B85" s="10" t="s">
        <v>121</v>
      </c>
      <c r="C85" s="25">
        <v>0.29166666666666702</v>
      </c>
      <c r="D85" s="11">
        <v>0.5</v>
      </c>
      <c r="E85" s="11">
        <f t="shared" ref="E85" si="91">IF(D85&gt;C85,D85-C85,C85-D85)</f>
        <v>0.20833333333333301</v>
      </c>
      <c r="F85" s="11">
        <v>0.52083333333333304</v>
      </c>
      <c r="G85" s="25">
        <v>0.64583333333333304</v>
      </c>
      <c r="H85" s="11">
        <f t="shared" ref="H85" si="92">IF(G85&gt;F85,G85-F85,F85-G85)</f>
        <v>0.125</v>
      </c>
      <c r="I85" s="17"/>
      <c r="J85" s="17"/>
      <c r="K85" s="11">
        <f t="shared" ref="K85" si="93">IF(J85&gt;I85,J85-I85,I85-J85)</f>
        <v>0</v>
      </c>
      <c r="L85" s="11">
        <f t="shared" ref="L85" si="94">E85+H85+K85</f>
        <v>0.33333333333333298</v>
      </c>
      <c r="M85" t="s">
        <v>25</v>
      </c>
    </row>
    <row r="86" spans="1:13">
      <c r="A86" s="3" t="s">
        <v>226</v>
      </c>
      <c r="B86" s="10" t="s">
        <v>227</v>
      </c>
      <c r="C86" s="25">
        <v>0.33333333333333298</v>
      </c>
      <c r="D86" s="11">
        <v>0.5</v>
      </c>
      <c r="E86" s="11">
        <f t="shared" ref="E86:E93" si="95">IF(D86&gt;C86,D86-C86,C86-D86)</f>
        <v>0.16666666666666699</v>
      </c>
      <c r="F86" s="11">
        <v>0.52083333333333304</v>
      </c>
      <c r="G86" s="25">
        <v>0.64583333333333304</v>
      </c>
      <c r="H86" s="11">
        <f t="shared" ref="H86:H93" si="96">IF(G86&gt;F86,G86-F86,F86-G86)</f>
        <v>0.125</v>
      </c>
      <c r="I86" s="17"/>
      <c r="J86" s="17"/>
      <c r="K86" s="11">
        <f t="shared" ref="K86:K93" si="97">IF(J86&gt;I86,J86-I86,I86-J86)</f>
        <v>0</v>
      </c>
      <c r="L86" s="11">
        <f t="shared" ref="L86:L93" si="98">E86+H86+K86</f>
        <v>0.29166666666666702</v>
      </c>
    </row>
    <row r="87" spans="1:13">
      <c r="A87" s="3" t="s">
        <v>228</v>
      </c>
      <c r="B87" s="13" t="s">
        <v>229</v>
      </c>
      <c r="C87" s="25">
        <v>0.3125</v>
      </c>
      <c r="D87" s="11">
        <v>0.5</v>
      </c>
      <c r="E87" s="11">
        <f t="shared" si="95"/>
        <v>0.1875</v>
      </c>
      <c r="F87" s="11">
        <v>0.52083333333333304</v>
      </c>
      <c r="G87" s="25">
        <v>0.70833333333333304</v>
      </c>
      <c r="H87" s="11">
        <f t="shared" si="96"/>
        <v>0.1875</v>
      </c>
      <c r="I87" s="17"/>
      <c r="J87" s="17"/>
      <c r="K87" s="11">
        <f t="shared" si="97"/>
        <v>0</v>
      </c>
      <c r="L87" s="11">
        <f t="shared" si="98"/>
        <v>0.375</v>
      </c>
    </row>
    <row r="88" spans="1:13">
      <c r="A88" s="3" t="s">
        <v>228</v>
      </c>
      <c r="B88" s="13" t="s">
        <v>14</v>
      </c>
      <c r="C88" s="25">
        <v>0.3125</v>
      </c>
      <c r="D88" s="11">
        <v>0.5</v>
      </c>
      <c r="E88" s="11">
        <f t="shared" si="95"/>
        <v>0.1875</v>
      </c>
      <c r="F88" s="11">
        <v>0.52083333333333304</v>
      </c>
      <c r="G88" s="25">
        <v>0.70833333333333304</v>
      </c>
      <c r="H88" s="11">
        <f t="shared" si="96"/>
        <v>0.1875</v>
      </c>
      <c r="I88" s="17"/>
      <c r="J88" s="17"/>
      <c r="K88" s="11">
        <f t="shared" si="97"/>
        <v>0</v>
      </c>
      <c r="L88" s="11">
        <f t="shared" si="98"/>
        <v>0.375</v>
      </c>
    </row>
    <row r="89" spans="1:13">
      <c r="B89" s="13" t="s">
        <v>230</v>
      </c>
      <c r="C89" s="25">
        <v>0.3125</v>
      </c>
      <c r="D89" s="11">
        <v>0.5</v>
      </c>
      <c r="E89" s="11">
        <f t="shared" si="95"/>
        <v>0.1875</v>
      </c>
      <c r="F89" s="11">
        <v>0.52083333333333304</v>
      </c>
      <c r="G89" s="25">
        <v>0.66666666666666696</v>
      </c>
      <c r="H89" s="11">
        <f t="shared" si="96"/>
        <v>0.14583333333333301</v>
      </c>
      <c r="I89" s="17"/>
      <c r="J89" s="17"/>
      <c r="K89" s="11">
        <f t="shared" si="97"/>
        <v>0</v>
      </c>
      <c r="L89" s="11">
        <f t="shared" si="98"/>
        <v>0.33333333333333298</v>
      </c>
    </row>
    <row r="90" spans="1:13">
      <c r="A90" s="3" t="s">
        <v>231</v>
      </c>
      <c r="B90" s="13" t="s">
        <v>232</v>
      </c>
      <c r="C90" s="20">
        <v>0.3125</v>
      </c>
      <c r="D90" s="11">
        <v>0.5</v>
      </c>
      <c r="E90" s="11">
        <f t="shared" si="95"/>
        <v>0.1875</v>
      </c>
      <c r="F90" s="21">
        <v>0.60416666666666696</v>
      </c>
      <c r="G90" s="20">
        <v>0.66666666666666696</v>
      </c>
      <c r="H90" s="11">
        <f t="shared" si="96"/>
        <v>6.25E-2</v>
      </c>
      <c r="I90" s="21"/>
      <c r="J90" s="21"/>
      <c r="K90" s="11">
        <f t="shared" si="97"/>
        <v>0</v>
      </c>
      <c r="L90" s="11">
        <f t="shared" si="98"/>
        <v>0.25</v>
      </c>
    </row>
    <row r="91" spans="1:13">
      <c r="A91" s="3" t="s">
        <v>231</v>
      </c>
      <c r="B91" s="13" t="s">
        <v>233</v>
      </c>
      <c r="C91" s="20">
        <v>0.3125</v>
      </c>
      <c r="D91" s="11">
        <v>0.5</v>
      </c>
      <c r="E91" s="11">
        <f t="shared" si="95"/>
        <v>0.1875</v>
      </c>
      <c r="F91" s="11">
        <v>0.52083333333333304</v>
      </c>
      <c r="G91" s="20">
        <v>0.66666666666666696</v>
      </c>
      <c r="H91" s="11">
        <f t="shared" si="96"/>
        <v>0.14583333333333301</v>
      </c>
      <c r="I91" s="21"/>
      <c r="J91" s="21"/>
      <c r="K91" s="11">
        <f t="shared" si="97"/>
        <v>0</v>
      </c>
      <c r="L91" s="11">
        <f t="shared" si="98"/>
        <v>0.33333333333333298</v>
      </c>
    </row>
    <row r="92" spans="1:13">
      <c r="A92" s="3" t="s">
        <v>231</v>
      </c>
      <c r="B92" s="13" t="s">
        <v>234</v>
      </c>
      <c r="C92" s="20">
        <v>0.3125</v>
      </c>
      <c r="D92" s="11">
        <v>0.5</v>
      </c>
      <c r="E92" s="11">
        <f t="shared" si="95"/>
        <v>0.1875</v>
      </c>
      <c r="F92" s="11">
        <v>0.52083333333333304</v>
      </c>
      <c r="G92" s="20">
        <v>0.66666666666666696</v>
      </c>
      <c r="H92" s="11">
        <f t="shared" si="96"/>
        <v>0.14583333333333301</v>
      </c>
      <c r="I92" s="21"/>
      <c r="J92" s="21"/>
      <c r="K92" s="11">
        <f t="shared" si="97"/>
        <v>0</v>
      </c>
      <c r="L92" s="11">
        <f t="shared" si="98"/>
        <v>0.33333333333333298</v>
      </c>
    </row>
    <row r="93" spans="1:13">
      <c r="A93" s="3" t="s">
        <v>231</v>
      </c>
      <c r="B93" s="13" t="s">
        <v>235</v>
      </c>
      <c r="C93" s="20">
        <v>0.3125</v>
      </c>
      <c r="D93" s="11">
        <v>0.5</v>
      </c>
      <c r="E93" s="11">
        <f t="shared" si="95"/>
        <v>0.1875</v>
      </c>
      <c r="F93" s="11">
        <v>0.52083333333333304</v>
      </c>
      <c r="G93" s="20">
        <v>0.66666666666666696</v>
      </c>
      <c r="H93" s="11">
        <f t="shared" si="96"/>
        <v>0.14583333333333301</v>
      </c>
      <c r="I93" s="21"/>
      <c r="J93" s="21"/>
      <c r="K93" s="11">
        <f t="shared" si="97"/>
        <v>0</v>
      </c>
      <c r="L93" s="11">
        <f t="shared" si="98"/>
        <v>0.33333333333333298</v>
      </c>
    </row>
    <row r="94" spans="1:13">
      <c r="E94" s="15">
        <f>SUM(E81:E93)</f>
        <v>2.2708333333333299</v>
      </c>
      <c r="H94" s="15">
        <f>SUM(H81:H93)</f>
        <v>1.6875</v>
      </c>
      <c r="K94" s="15">
        <f>SUM(K81:K93)</f>
        <v>0</v>
      </c>
      <c r="L94" s="15">
        <f>SUM(L81:L93)</f>
        <v>3.9583333333333299</v>
      </c>
    </row>
    <row r="95" spans="1:13">
      <c r="C95" s="2" t="s">
        <v>216</v>
      </c>
      <c r="G95" s="5" t="s">
        <v>37</v>
      </c>
      <c r="H95" s="6">
        <f>+H78+1</f>
        <v>46249</v>
      </c>
    </row>
    <row r="96" spans="1:13">
      <c r="C96" s="168" t="s">
        <v>3</v>
      </c>
      <c r="D96" s="168"/>
      <c r="E96" s="168"/>
      <c r="F96" s="169" t="s">
        <v>4</v>
      </c>
      <c r="G96" s="169"/>
      <c r="H96" s="169"/>
      <c r="I96" s="170" t="s">
        <v>5</v>
      </c>
      <c r="J96" s="170"/>
      <c r="K96" s="170"/>
    </row>
    <row r="97" spans="1:13">
      <c r="B97" s="7" t="s">
        <v>6</v>
      </c>
      <c r="C97" s="8" t="s">
        <v>7</v>
      </c>
      <c r="D97" s="8" t="s">
        <v>8</v>
      </c>
      <c r="E97" s="8" t="s">
        <v>9</v>
      </c>
      <c r="F97" s="9" t="s">
        <v>7</v>
      </c>
      <c r="G97" s="9" t="s">
        <v>8</v>
      </c>
      <c r="H97" s="9" t="s">
        <v>9</v>
      </c>
      <c r="I97" s="16" t="s">
        <v>7</v>
      </c>
      <c r="J97" s="16" t="s">
        <v>8</v>
      </c>
      <c r="K97" s="16" t="s">
        <v>9</v>
      </c>
      <c r="L97" s="7" t="s">
        <v>10</v>
      </c>
    </row>
    <row r="98" spans="1:13">
      <c r="A98" s="3" t="s">
        <v>217</v>
      </c>
      <c r="B98" s="10" t="s">
        <v>218</v>
      </c>
      <c r="C98" s="25">
        <v>0.3125</v>
      </c>
      <c r="D98" s="11">
        <v>0.5</v>
      </c>
      <c r="E98" s="11">
        <f>IF(D98&gt;C98,D98-C98,C98-D98)</f>
        <v>0.1875</v>
      </c>
      <c r="F98" s="11">
        <v>0.52083333333333304</v>
      </c>
      <c r="G98" s="25">
        <v>0.66666666666666696</v>
      </c>
      <c r="H98" s="11">
        <f t="shared" ref="H98" si="99">IF(G98&gt;F98,G98-F98,F98-G98)</f>
        <v>0.14583333333333301</v>
      </c>
      <c r="I98" s="17"/>
      <c r="J98" s="17"/>
      <c r="K98" s="11">
        <f t="shared" ref="K98" si="100">IF(J98&gt;I98,J98-I98,I98-J98)</f>
        <v>0</v>
      </c>
      <c r="L98" s="11">
        <f t="shared" ref="L98" si="101">E98+H98+K98</f>
        <v>0.33333333333333298</v>
      </c>
    </row>
    <row r="99" spans="1:13">
      <c r="A99" s="3" t="s">
        <v>219</v>
      </c>
      <c r="B99" s="10" t="s">
        <v>220</v>
      </c>
      <c r="C99" s="25">
        <v>0.3125</v>
      </c>
      <c r="D99" s="11">
        <v>0.5</v>
      </c>
      <c r="E99" s="11">
        <f t="shared" ref="E99:E102" si="102">IF(D99&gt;C99,D99-C99,C99-D99)</f>
        <v>0.1875</v>
      </c>
      <c r="F99" s="11">
        <v>0.52083333333333304</v>
      </c>
      <c r="G99" s="25">
        <v>0.70833333333333304</v>
      </c>
      <c r="H99" s="11">
        <f t="shared" ref="H99:H102" si="103">IF(G99&gt;F99,G99-F99,F99-G99)</f>
        <v>0.1875</v>
      </c>
      <c r="I99" s="17"/>
      <c r="J99" s="17"/>
      <c r="K99" s="11">
        <f t="shared" ref="K99:K102" si="104">IF(J99&gt;I99,J99-I99,I99-J99)</f>
        <v>0</v>
      </c>
      <c r="L99" s="11">
        <f t="shared" ref="L99:L102" si="105">E99+H99+K99</f>
        <v>0.375</v>
      </c>
    </row>
    <row r="100" spans="1:13">
      <c r="A100" s="3" t="s">
        <v>221</v>
      </c>
      <c r="B100" s="10" t="s">
        <v>222</v>
      </c>
      <c r="C100" s="19"/>
      <c r="D100" s="19"/>
      <c r="E100" s="19">
        <f t="shared" si="102"/>
        <v>0</v>
      </c>
      <c r="F100" s="19"/>
      <c r="G100" s="19"/>
      <c r="H100" s="19">
        <f t="shared" si="103"/>
        <v>0</v>
      </c>
      <c r="I100" s="22"/>
      <c r="J100" s="22"/>
      <c r="K100" s="19">
        <f t="shared" si="104"/>
        <v>0</v>
      </c>
      <c r="L100" s="11">
        <f t="shared" si="105"/>
        <v>0</v>
      </c>
      <c r="M100" t="s">
        <v>25</v>
      </c>
    </row>
    <row r="101" spans="1:13" ht="17.25" customHeight="1">
      <c r="A101" s="3" t="s">
        <v>223</v>
      </c>
      <c r="B101" s="10" t="s">
        <v>224</v>
      </c>
      <c r="C101" s="25">
        <v>0.3125</v>
      </c>
      <c r="D101" s="11">
        <v>0.5</v>
      </c>
      <c r="E101" s="11">
        <f t="shared" si="102"/>
        <v>0.1875</v>
      </c>
      <c r="F101" s="11">
        <v>0.52083333333333304</v>
      </c>
      <c r="G101" s="25">
        <v>0.66666666666666696</v>
      </c>
      <c r="H101" s="11">
        <f t="shared" si="103"/>
        <v>0.14583333333333301</v>
      </c>
      <c r="I101" s="17"/>
      <c r="J101" s="17"/>
      <c r="K101" s="11">
        <f t="shared" si="104"/>
        <v>0</v>
      </c>
      <c r="L101" s="11">
        <f t="shared" si="105"/>
        <v>0.33333333333333298</v>
      </c>
      <c r="M101" t="s">
        <v>25</v>
      </c>
    </row>
    <row r="102" spans="1:13">
      <c r="A102" s="3" t="s">
        <v>225</v>
      </c>
      <c r="B102" s="10" t="s">
        <v>121</v>
      </c>
      <c r="C102" s="25">
        <v>0.3125</v>
      </c>
      <c r="D102" s="11">
        <v>0.5</v>
      </c>
      <c r="E102" s="11">
        <f t="shared" si="102"/>
        <v>0.1875</v>
      </c>
      <c r="F102" s="11">
        <v>0.52083333333333304</v>
      </c>
      <c r="G102" s="25">
        <v>0.64583333333333304</v>
      </c>
      <c r="H102" s="11">
        <f t="shared" si="103"/>
        <v>0.125</v>
      </c>
      <c r="I102" s="17"/>
      <c r="J102" s="17"/>
      <c r="K102" s="11">
        <f t="shared" si="104"/>
        <v>0</v>
      </c>
      <c r="L102" s="11">
        <f t="shared" si="105"/>
        <v>0.3125</v>
      </c>
      <c r="M102" t="s">
        <v>25</v>
      </c>
    </row>
    <row r="103" spans="1:13">
      <c r="A103" s="3" t="s">
        <v>226</v>
      </c>
      <c r="B103" s="10" t="s">
        <v>227</v>
      </c>
      <c r="C103" s="25">
        <v>0.33333333333333298</v>
      </c>
      <c r="D103" s="11">
        <v>0.5</v>
      </c>
      <c r="E103" s="11">
        <f t="shared" ref="E103" si="106">IF(D103&gt;C103,D103-C103,C103-D103)</f>
        <v>0.16666666666666699</v>
      </c>
      <c r="F103" s="11">
        <v>0.52083333333333304</v>
      </c>
      <c r="G103" s="25">
        <v>0.64583333333333304</v>
      </c>
      <c r="H103" s="11">
        <f t="shared" ref="H103" si="107">IF(G103&gt;F103,G103-F103,F103-G103)</f>
        <v>0.125</v>
      </c>
      <c r="I103" s="17"/>
      <c r="J103" s="17"/>
      <c r="K103" s="11">
        <f t="shared" ref="K103" si="108">IF(J103&gt;I103,J103-I103,I103-J103)</f>
        <v>0</v>
      </c>
      <c r="L103" s="11">
        <f t="shared" ref="L103" si="109">E103+H103+K103</f>
        <v>0.29166666666666702</v>
      </c>
    </row>
    <row r="104" spans="1:13">
      <c r="A104" s="3" t="s">
        <v>228</v>
      </c>
      <c r="B104" s="13" t="s">
        <v>229</v>
      </c>
      <c r="C104" s="25">
        <v>0.3125</v>
      </c>
      <c r="D104" s="11">
        <v>0.5</v>
      </c>
      <c r="E104" s="11">
        <f t="shared" ref="E104" si="110">IF(D104&gt;C104,D104-C104,C104-D104)</f>
        <v>0.1875</v>
      </c>
      <c r="F104" s="11">
        <v>0.52083333333333304</v>
      </c>
      <c r="G104" s="25">
        <v>0.66666666666666696</v>
      </c>
      <c r="H104" s="11">
        <f t="shared" ref="H104" si="111">IF(G104&gt;F104,G104-F104,F104-G104)</f>
        <v>0.14583333333333301</v>
      </c>
      <c r="I104" s="17"/>
      <c r="J104" s="17"/>
      <c r="K104" s="11">
        <f t="shared" ref="K104" si="112">IF(J104&gt;I104,J104-I104,I104-J104)</f>
        <v>0</v>
      </c>
      <c r="L104" s="11">
        <f t="shared" ref="L104" si="113">E104+H104+K104</f>
        <v>0.33333333333333298</v>
      </c>
    </row>
    <row r="105" spans="1:13">
      <c r="A105" s="3" t="s">
        <v>228</v>
      </c>
      <c r="B105" s="13" t="s">
        <v>14</v>
      </c>
      <c r="C105" s="25">
        <v>0.3125</v>
      </c>
      <c r="D105" s="11">
        <v>0.5</v>
      </c>
      <c r="E105" s="11">
        <f t="shared" ref="E105:E107" si="114">IF(D105&gt;C105,D105-C105,C105-D105)</f>
        <v>0.1875</v>
      </c>
      <c r="F105" s="11">
        <v>0.52083333333333304</v>
      </c>
      <c r="G105" s="25">
        <v>0.66666666666666696</v>
      </c>
      <c r="H105" s="11">
        <f t="shared" ref="H105:H107" si="115">IF(G105&gt;F105,G105-F105,F105-G105)</f>
        <v>0.14583333333333301</v>
      </c>
      <c r="I105" s="17"/>
      <c r="J105" s="17"/>
      <c r="K105" s="11">
        <f t="shared" ref="K105:K107" si="116">IF(J105&gt;I105,J105-I105,I105-J105)</f>
        <v>0</v>
      </c>
      <c r="L105" s="11">
        <f t="shared" ref="L105:L107" si="117">E105+H105+K105</f>
        <v>0.33333333333333298</v>
      </c>
    </row>
    <row r="106" spans="1:13">
      <c r="B106" s="13" t="s">
        <v>230</v>
      </c>
      <c r="C106" s="25">
        <v>0.3125</v>
      </c>
      <c r="D106" s="11">
        <v>0.5</v>
      </c>
      <c r="E106" s="11">
        <f t="shared" si="114"/>
        <v>0.1875</v>
      </c>
      <c r="F106" s="11">
        <v>0.52083333333333304</v>
      </c>
      <c r="G106" s="25">
        <v>0.70833333333333304</v>
      </c>
      <c r="H106" s="11">
        <f t="shared" si="115"/>
        <v>0.1875</v>
      </c>
      <c r="I106" s="17"/>
      <c r="J106" s="17"/>
      <c r="K106" s="11">
        <f t="shared" si="116"/>
        <v>0</v>
      </c>
      <c r="L106" s="11">
        <f t="shared" si="117"/>
        <v>0.375</v>
      </c>
    </row>
    <row r="107" spans="1:13">
      <c r="A107" s="3" t="s">
        <v>231</v>
      </c>
      <c r="B107" s="13" t="s">
        <v>232</v>
      </c>
      <c r="C107" s="20">
        <v>0.3125</v>
      </c>
      <c r="D107" s="11">
        <v>0.5</v>
      </c>
      <c r="E107" s="11">
        <f t="shared" si="114"/>
        <v>0.1875</v>
      </c>
      <c r="F107" s="21">
        <v>0.58333333333333304</v>
      </c>
      <c r="G107" s="20">
        <v>0.66666666666666696</v>
      </c>
      <c r="H107" s="11">
        <f t="shared" si="115"/>
        <v>8.3333333333333301E-2</v>
      </c>
      <c r="I107" s="21"/>
      <c r="J107" s="21"/>
      <c r="K107" s="11">
        <f t="shared" si="116"/>
        <v>0</v>
      </c>
      <c r="L107" s="11">
        <f t="shared" si="117"/>
        <v>0.27083333333333298</v>
      </c>
    </row>
    <row r="108" spans="1:13">
      <c r="A108" s="3" t="s">
        <v>231</v>
      </c>
      <c r="B108" s="13" t="s">
        <v>233</v>
      </c>
      <c r="C108" s="20">
        <v>0.3125</v>
      </c>
      <c r="D108" s="11">
        <v>0.5</v>
      </c>
      <c r="E108" s="11">
        <f t="shared" ref="E108:E110" si="118">IF(D108&gt;C108,D108-C108,C108-D108)</f>
        <v>0.1875</v>
      </c>
      <c r="F108" s="11">
        <v>0.52083333333333304</v>
      </c>
      <c r="G108" s="20">
        <v>0.66666666666666696</v>
      </c>
      <c r="H108" s="11">
        <f t="shared" ref="H108:H110" si="119">IF(G108&gt;F108,G108-F108,F108-G108)</f>
        <v>0.14583333333333301</v>
      </c>
      <c r="I108" s="21"/>
      <c r="J108" s="21"/>
      <c r="K108" s="11">
        <f t="shared" ref="K108:K110" si="120">IF(J108&gt;I108,J108-I108,I108-J108)</f>
        <v>0</v>
      </c>
      <c r="L108" s="11">
        <f t="shared" ref="L108:L110" si="121">E108+H108+K108</f>
        <v>0.33333333333333298</v>
      </c>
    </row>
    <row r="109" spans="1:13">
      <c r="A109" s="3" t="s">
        <v>231</v>
      </c>
      <c r="B109" s="13" t="s">
        <v>234</v>
      </c>
      <c r="C109" s="20">
        <v>0.3125</v>
      </c>
      <c r="D109" s="11">
        <v>0.5</v>
      </c>
      <c r="E109" s="11">
        <f t="shared" si="118"/>
        <v>0.1875</v>
      </c>
      <c r="F109" s="11">
        <v>0.52083333333333304</v>
      </c>
      <c r="G109" s="20">
        <v>0.66666666666666696</v>
      </c>
      <c r="H109" s="11">
        <f t="shared" si="119"/>
        <v>0.14583333333333301</v>
      </c>
      <c r="I109" s="21"/>
      <c r="J109" s="21"/>
      <c r="K109" s="11">
        <f t="shared" si="120"/>
        <v>0</v>
      </c>
      <c r="L109" s="11">
        <f t="shared" si="121"/>
        <v>0.33333333333333298</v>
      </c>
    </row>
    <row r="110" spans="1:13">
      <c r="A110" s="3" t="s">
        <v>231</v>
      </c>
      <c r="B110" s="13" t="s">
        <v>235</v>
      </c>
      <c r="C110" s="20">
        <v>0.3125</v>
      </c>
      <c r="D110" s="11">
        <v>0.5</v>
      </c>
      <c r="E110" s="11">
        <f t="shared" si="118"/>
        <v>0.1875</v>
      </c>
      <c r="F110" s="11">
        <v>0.52083333333333304</v>
      </c>
      <c r="G110" s="20">
        <v>0.66666666666666696</v>
      </c>
      <c r="H110" s="11">
        <f t="shared" si="119"/>
        <v>0.14583333333333301</v>
      </c>
      <c r="I110" s="21"/>
      <c r="J110" s="21"/>
      <c r="K110" s="11">
        <f t="shared" si="120"/>
        <v>0</v>
      </c>
      <c r="L110" s="11">
        <f t="shared" si="121"/>
        <v>0.33333333333333298</v>
      </c>
    </row>
    <row r="111" spans="1:13">
      <c r="E111" s="15">
        <f>SUM(E98:E110)</f>
        <v>2.2291666666666701</v>
      </c>
      <c r="H111" s="15">
        <f>SUM(H98:H110)</f>
        <v>1.7291666666666701</v>
      </c>
      <c r="K111" s="15">
        <f>SUM(K98:K110)</f>
        <v>0</v>
      </c>
      <c r="L111" s="15">
        <f>SUM(L98:L110)</f>
        <v>3.9583333333333299</v>
      </c>
    </row>
    <row r="112" spans="1:13">
      <c r="E112" s="23"/>
      <c r="H112" s="23"/>
      <c r="K112" s="23"/>
      <c r="L112" s="23"/>
    </row>
    <row r="113" spans="1:13">
      <c r="C113" s="2" t="s">
        <v>216</v>
      </c>
      <c r="G113" s="5" t="s">
        <v>38</v>
      </c>
      <c r="H113" s="6">
        <f>+H95+1</f>
        <v>46250</v>
      </c>
    </row>
    <row r="114" spans="1:13">
      <c r="C114" s="168" t="s">
        <v>3</v>
      </c>
      <c r="D114" s="168"/>
      <c r="E114" s="168"/>
      <c r="F114" s="169" t="s">
        <v>4</v>
      </c>
      <c r="G114" s="169"/>
      <c r="H114" s="169"/>
      <c r="I114" s="170" t="s">
        <v>5</v>
      </c>
      <c r="J114" s="170"/>
      <c r="K114" s="170"/>
    </row>
    <row r="115" spans="1:13">
      <c r="B115" s="7" t="s">
        <v>6</v>
      </c>
      <c r="C115" s="8" t="s">
        <v>7</v>
      </c>
      <c r="D115" s="8" t="s">
        <v>8</v>
      </c>
      <c r="E115" s="8" t="s">
        <v>9</v>
      </c>
      <c r="F115" s="9" t="s">
        <v>7</v>
      </c>
      <c r="G115" s="9" t="s">
        <v>8</v>
      </c>
      <c r="H115" s="9" t="s">
        <v>9</v>
      </c>
      <c r="I115" s="16" t="s">
        <v>7</v>
      </c>
      <c r="J115" s="16" t="s">
        <v>8</v>
      </c>
      <c r="K115" s="16" t="s">
        <v>9</v>
      </c>
      <c r="L115" s="7" t="s">
        <v>10</v>
      </c>
    </row>
    <row r="116" spans="1:13">
      <c r="A116" s="3" t="s">
        <v>217</v>
      </c>
      <c r="B116" s="10" t="s">
        <v>218</v>
      </c>
      <c r="C116" s="25">
        <v>0.3125</v>
      </c>
      <c r="D116" s="11">
        <v>0.5</v>
      </c>
      <c r="E116" s="11">
        <f t="shared" ref="E116" si="122">IF(D116&gt;C116,D116-C116,C116-D116)</f>
        <v>0.1875</v>
      </c>
      <c r="F116" s="11">
        <v>0.52083333333333304</v>
      </c>
      <c r="G116" s="25">
        <v>0.58333333333333304</v>
      </c>
      <c r="H116" s="11">
        <f>IF(G116&gt;F116,G116-F116,F116-G116)</f>
        <v>6.25E-2</v>
      </c>
      <c r="I116" s="17"/>
      <c r="J116" s="17"/>
      <c r="K116" s="11">
        <f>IF(J116&gt;I116,J116-I116,I116-J116)</f>
        <v>0</v>
      </c>
      <c r="L116" s="11">
        <f t="shared" ref="L116" si="123">E116+H116+K116</f>
        <v>0.25</v>
      </c>
      <c r="M116" t="s">
        <v>25</v>
      </c>
    </row>
    <row r="117" spans="1:13">
      <c r="A117" s="3" t="s">
        <v>219</v>
      </c>
      <c r="B117" s="10" t="s">
        <v>220</v>
      </c>
      <c r="C117" s="25">
        <v>0.29166666666666702</v>
      </c>
      <c r="D117" s="11">
        <v>0.5</v>
      </c>
      <c r="E117" s="11">
        <f t="shared" ref="E117" si="124">IF(D117&gt;C117,D117-C117,C117-D117)</f>
        <v>0.20833333333333301</v>
      </c>
      <c r="F117" s="11">
        <v>0.52083333333333304</v>
      </c>
      <c r="G117" s="25">
        <v>0.58333333333333304</v>
      </c>
      <c r="H117" s="11">
        <f>IF(G117&gt;F117,G117-F117,F117-G117)</f>
        <v>6.25E-2</v>
      </c>
      <c r="I117" s="17"/>
      <c r="J117" s="17"/>
      <c r="K117" s="11">
        <f>IF(J117&gt;I117,J117-I117,I117-J117)</f>
        <v>0</v>
      </c>
      <c r="L117" s="11">
        <f t="shared" ref="L117:L123" si="125">E117+H117+K117</f>
        <v>0.27083333333333298</v>
      </c>
    </row>
    <row r="118" spans="1:13">
      <c r="A118" s="3" t="s">
        <v>221</v>
      </c>
      <c r="B118" s="10" t="s">
        <v>222</v>
      </c>
      <c r="C118" s="25">
        <v>0.3125</v>
      </c>
      <c r="D118" s="11">
        <v>0.5</v>
      </c>
      <c r="E118" s="11">
        <f t="shared" ref="E118:E119" si="126">IF(D118&gt;C118,D118-C118,C118-D118)</f>
        <v>0.1875</v>
      </c>
      <c r="F118" s="11">
        <v>0.52083333333333304</v>
      </c>
      <c r="G118" s="25">
        <v>0.58333333333333304</v>
      </c>
      <c r="H118" s="11">
        <f>IF(G118&gt;F118,G118-F118,F118-G118)</f>
        <v>6.25E-2</v>
      </c>
      <c r="I118" s="17"/>
      <c r="J118" s="17"/>
      <c r="K118" s="11">
        <f>IF(J118&gt;I118,J118-I118,I118-J118)</f>
        <v>0</v>
      </c>
      <c r="L118" s="11">
        <f t="shared" ref="L118:L119" si="127">E118+H118+K118</f>
        <v>0.25</v>
      </c>
    </row>
    <row r="119" spans="1:13">
      <c r="A119" s="3" t="s">
        <v>223</v>
      </c>
      <c r="B119" s="10" t="s">
        <v>224</v>
      </c>
      <c r="C119" s="25">
        <v>0.3125</v>
      </c>
      <c r="D119" s="11">
        <v>0.5</v>
      </c>
      <c r="E119" s="11">
        <f t="shared" si="126"/>
        <v>0.1875</v>
      </c>
      <c r="F119" s="11">
        <v>0.52083333333333304</v>
      </c>
      <c r="G119" s="25">
        <v>0.66666666666666696</v>
      </c>
      <c r="H119" s="11">
        <f t="shared" ref="H119" si="128">IF(G119&gt;F119,G119-F119,F119-G119)</f>
        <v>0.14583333333333301</v>
      </c>
      <c r="I119" s="17"/>
      <c r="J119" s="17"/>
      <c r="K119" s="11">
        <f t="shared" ref="K119" si="129">IF(J119&gt;I119,J119-I119,I119-J119)</f>
        <v>0</v>
      </c>
      <c r="L119" s="11">
        <f t="shared" si="127"/>
        <v>0.33333333333333298</v>
      </c>
    </row>
    <row r="120" spans="1:13">
      <c r="A120" s="3" t="s">
        <v>225</v>
      </c>
      <c r="B120" s="10" t="s">
        <v>121</v>
      </c>
      <c r="C120" s="19"/>
      <c r="D120" s="19"/>
      <c r="E120" s="19">
        <f t="shared" ref="E120" si="130">IF(D120&gt;C120,D120-C120,C120-D120)</f>
        <v>0</v>
      </c>
      <c r="F120" s="19"/>
      <c r="G120" s="19"/>
      <c r="H120" s="19">
        <f t="shared" ref="H120" si="131">IF(G120&gt;F120,G120-F120,F120-G120)</f>
        <v>0</v>
      </c>
      <c r="I120" s="22"/>
      <c r="J120" s="22"/>
      <c r="K120" s="19">
        <f t="shared" ref="K120" si="132">IF(J120&gt;I120,J120-I120,I120-J120)</f>
        <v>0</v>
      </c>
      <c r="L120" s="11">
        <f t="shared" si="125"/>
        <v>0</v>
      </c>
      <c r="M120" t="s">
        <v>25</v>
      </c>
    </row>
    <row r="121" spans="1:13">
      <c r="A121" s="3" t="s">
        <v>226</v>
      </c>
      <c r="B121" s="10" t="s">
        <v>227</v>
      </c>
      <c r="C121" s="25">
        <v>0.33333333333333298</v>
      </c>
      <c r="D121" s="11">
        <v>0.5</v>
      </c>
      <c r="E121" s="11">
        <f t="shared" ref="E121:E129" si="133">IF(D121&gt;C121,D121-C121,C121-D121)</f>
        <v>0.16666666666666699</v>
      </c>
      <c r="F121" s="11">
        <v>0.52083333333333304</v>
      </c>
      <c r="G121" s="25">
        <v>0.58333333333333304</v>
      </c>
      <c r="H121" s="11">
        <f t="shared" ref="H121:H129" si="134">IF(G121&gt;F121,G121-F121,F121-G121)</f>
        <v>6.25E-2</v>
      </c>
      <c r="I121" s="17"/>
      <c r="J121" s="17"/>
      <c r="K121" s="11">
        <f t="shared" ref="K121:K129" si="135">IF(J121&gt;I121,J121-I121,I121-J121)</f>
        <v>0</v>
      </c>
      <c r="L121" s="11">
        <f t="shared" si="125"/>
        <v>0.22916666666666699</v>
      </c>
    </row>
    <row r="122" spans="1:13">
      <c r="A122" s="3" t="s">
        <v>228</v>
      </c>
      <c r="B122" s="13" t="s">
        <v>229</v>
      </c>
      <c r="C122" s="25">
        <v>0.3125</v>
      </c>
      <c r="D122" s="11">
        <v>0.5</v>
      </c>
      <c r="E122" s="11">
        <f t="shared" si="133"/>
        <v>0.1875</v>
      </c>
      <c r="F122" s="11">
        <v>0.52083333333333304</v>
      </c>
      <c r="G122" s="25">
        <v>0.58333333333333304</v>
      </c>
      <c r="H122" s="11">
        <f t="shared" si="134"/>
        <v>6.25E-2</v>
      </c>
      <c r="I122" s="17"/>
      <c r="J122" s="17"/>
      <c r="K122" s="11">
        <f t="shared" si="135"/>
        <v>0</v>
      </c>
      <c r="L122" s="11">
        <f t="shared" si="125"/>
        <v>0.25</v>
      </c>
    </row>
    <row r="123" spans="1:13">
      <c r="A123" s="3" t="s">
        <v>228</v>
      </c>
      <c r="B123" s="13" t="s">
        <v>14</v>
      </c>
      <c r="C123" s="25">
        <v>0.3125</v>
      </c>
      <c r="D123" s="11">
        <v>0.5</v>
      </c>
      <c r="E123" s="11">
        <f t="shared" si="133"/>
        <v>0.1875</v>
      </c>
      <c r="F123" s="11">
        <v>0.52083333333333304</v>
      </c>
      <c r="G123" s="25">
        <v>0.58333333333333304</v>
      </c>
      <c r="H123" s="11">
        <f t="shared" si="134"/>
        <v>6.25E-2</v>
      </c>
      <c r="I123" s="17"/>
      <c r="J123" s="17"/>
      <c r="K123" s="11">
        <f t="shared" si="135"/>
        <v>0</v>
      </c>
      <c r="L123" s="11">
        <f t="shared" si="125"/>
        <v>0.25</v>
      </c>
    </row>
    <row r="124" spans="1:13" hidden="1">
      <c r="A124" s="3" t="s">
        <v>231</v>
      </c>
      <c r="B124" s="13" t="s">
        <v>232</v>
      </c>
      <c r="C124" s="19"/>
      <c r="D124" s="19"/>
      <c r="E124" s="19">
        <f t="shared" si="133"/>
        <v>0</v>
      </c>
      <c r="F124" s="19"/>
      <c r="G124" s="19"/>
      <c r="H124" s="19">
        <f t="shared" si="134"/>
        <v>0</v>
      </c>
      <c r="I124" s="22"/>
      <c r="J124" s="22"/>
      <c r="K124" s="19">
        <f t="shared" si="135"/>
        <v>0</v>
      </c>
      <c r="L124" s="11">
        <f t="shared" ref="L124:L129" si="136">E124+H124+K124</f>
        <v>0</v>
      </c>
    </row>
    <row r="125" spans="1:13">
      <c r="B125" s="13" t="s">
        <v>230</v>
      </c>
      <c r="C125" s="25">
        <v>0.3125</v>
      </c>
      <c r="D125" s="11">
        <v>0.5</v>
      </c>
      <c r="E125" s="11">
        <f t="shared" si="133"/>
        <v>0.1875</v>
      </c>
      <c r="F125" s="11">
        <v>0.52083333333333304</v>
      </c>
      <c r="G125" s="25">
        <v>0.58333333333333304</v>
      </c>
      <c r="H125" s="11">
        <f t="shared" si="134"/>
        <v>6.25E-2</v>
      </c>
      <c r="I125" s="17"/>
      <c r="J125" s="17"/>
      <c r="K125" s="11">
        <f t="shared" si="135"/>
        <v>0</v>
      </c>
      <c r="L125" s="11">
        <f t="shared" si="136"/>
        <v>0.25</v>
      </c>
    </row>
    <row r="126" spans="1:13">
      <c r="A126" s="3" t="s">
        <v>231</v>
      </c>
      <c r="B126" s="13" t="s">
        <v>233</v>
      </c>
      <c r="C126" s="19"/>
      <c r="D126" s="19"/>
      <c r="E126" s="19">
        <f t="shared" si="133"/>
        <v>0</v>
      </c>
      <c r="F126" s="19"/>
      <c r="G126" s="19"/>
      <c r="H126" s="19">
        <f t="shared" si="134"/>
        <v>0</v>
      </c>
      <c r="I126" s="22"/>
      <c r="J126" s="22"/>
      <c r="K126" s="19">
        <f t="shared" si="135"/>
        <v>0</v>
      </c>
      <c r="L126" s="11">
        <f t="shared" si="136"/>
        <v>0</v>
      </c>
      <c r="M126" t="s">
        <v>25</v>
      </c>
    </row>
    <row r="127" spans="1:13">
      <c r="A127" s="3" t="s">
        <v>231</v>
      </c>
      <c r="B127" s="13" t="s">
        <v>234</v>
      </c>
      <c r="C127" s="19"/>
      <c r="D127" s="19"/>
      <c r="E127" s="19">
        <f t="shared" si="133"/>
        <v>0</v>
      </c>
      <c r="F127" s="19"/>
      <c r="G127" s="19"/>
      <c r="H127" s="19">
        <f t="shared" si="134"/>
        <v>0</v>
      </c>
      <c r="I127" s="22"/>
      <c r="J127" s="22"/>
      <c r="K127" s="19">
        <f t="shared" si="135"/>
        <v>0</v>
      </c>
      <c r="L127" s="11">
        <f t="shared" si="136"/>
        <v>0</v>
      </c>
      <c r="M127" t="s">
        <v>25</v>
      </c>
    </row>
    <row r="128" spans="1:13">
      <c r="A128" s="3" t="s">
        <v>231</v>
      </c>
      <c r="B128" s="13" t="s">
        <v>235</v>
      </c>
      <c r="C128" s="19"/>
      <c r="D128" s="19"/>
      <c r="E128" s="19">
        <f t="shared" si="133"/>
        <v>0</v>
      </c>
      <c r="F128" s="19"/>
      <c r="G128" s="19"/>
      <c r="H128" s="19">
        <f t="shared" si="134"/>
        <v>0</v>
      </c>
      <c r="I128" s="22"/>
      <c r="J128" s="22"/>
      <c r="K128" s="19">
        <f t="shared" si="135"/>
        <v>0</v>
      </c>
      <c r="L128" s="11">
        <f t="shared" si="136"/>
        <v>0</v>
      </c>
      <c r="M128" t="s">
        <v>25</v>
      </c>
    </row>
    <row r="129" spans="1:13">
      <c r="B129" s="13" t="s">
        <v>232</v>
      </c>
      <c r="C129" s="19"/>
      <c r="D129" s="19"/>
      <c r="E129" s="19">
        <f t="shared" si="133"/>
        <v>0</v>
      </c>
      <c r="F129" s="19"/>
      <c r="G129" s="19"/>
      <c r="H129" s="19">
        <f t="shared" si="134"/>
        <v>0</v>
      </c>
      <c r="I129" s="22"/>
      <c r="J129" s="22"/>
      <c r="K129" s="19">
        <f t="shared" si="135"/>
        <v>0</v>
      </c>
      <c r="L129" s="11">
        <f t="shared" si="136"/>
        <v>0</v>
      </c>
      <c r="M129" t="s">
        <v>25</v>
      </c>
    </row>
    <row r="130" spans="1:13">
      <c r="E130" s="45">
        <f>SUM(E116:E129)</f>
        <v>1.5</v>
      </c>
      <c r="H130" s="45">
        <f>SUM(H116:H129)</f>
        <v>0.58333333333333304</v>
      </c>
      <c r="K130" s="45">
        <f>SUM(K116:K129)</f>
        <v>0</v>
      </c>
      <c r="L130" s="21">
        <f>SUM(L116:L129)</f>
        <v>2.0833333333333299</v>
      </c>
    </row>
    <row r="131" spans="1:13">
      <c r="A131" s="3" t="s">
        <v>217</v>
      </c>
      <c r="B131" s="10" t="s">
        <v>218</v>
      </c>
      <c r="C131" s="21">
        <f t="shared" ref="C131:C136" si="137">+L8+L26+L45+L63+L81+L98+L116</f>
        <v>1.9583333333333299</v>
      </c>
    </row>
    <row r="132" spans="1:13">
      <c r="A132" s="3" t="s">
        <v>219</v>
      </c>
      <c r="B132" s="10" t="s">
        <v>220</v>
      </c>
      <c r="C132" s="21">
        <f t="shared" si="137"/>
        <v>1.9791666666666701</v>
      </c>
    </row>
    <row r="133" spans="1:13">
      <c r="A133" s="3" t="s">
        <v>221</v>
      </c>
      <c r="B133" s="10" t="s">
        <v>222</v>
      </c>
      <c r="C133" s="21">
        <f t="shared" si="137"/>
        <v>1.9583333333333299</v>
      </c>
    </row>
    <row r="134" spans="1:13">
      <c r="A134" s="3" t="s">
        <v>223</v>
      </c>
      <c r="B134" s="10" t="s">
        <v>224</v>
      </c>
      <c r="C134" s="21">
        <f t="shared" si="137"/>
        <v>2.0833333333333299</v>
      </c>
    </row>
    <row r="135" spans="1:13">
      <c r="A135" s="3" t="s">
        <v>225</v>
      </c>
      <c r="B135" s="10" t="s">
        <v>121</v>
      </c>
      <c r="C135" s="21">
        <f t="shared" si="137"/>
        <v>1.9791666666666701</v>
      </c>
    </row>
    <row r="136" spans="1:13">
      <c r="A136" s="3" t="s">
        <v>226</v>
      </c>
      <c r="B136" s="10" t="s">
        <v>227</v>
      </c>
      <c r="C136" s="21">
        <f t="shared" si="137"/>
        <v>1.7291666666666701</v>
      </c>
    </row>
  </sheetData>
  <mergeCells count="22">
    <mergeCell ref="C6:E6"/>
    <mergeCell ref="F6:H6"/>
    <mergeCell ref="I6:K6"/>
    <mergeCell ref="C24:E24"/>
    <mergeCell ref="F24:H24"/>
    <mergeCell ref="I24:K24"/>
    <mergeCell ref="C114:E114"/>
    <mergeCell ref="F114:H114"/>
    <mergeCell ref="I114:K114"/>
    <mergeCell ref="E2:I3"/>
    <mergeCell ref="C79:E79"/>
    <mergeCell ref="F79:H79"/>
    <mergeCell ref="I79:K79"/>
    <mergeCell ref="C96:E96"/>
    <mergeCell ref="F96:H96"/>
    <mergeCell ref="I96:K96"/>
    <mergeCell ref="C43:E43"/>
    <mergeCell ref="F43:H43"/>
    <mergeCell ref="I43:K43"/>
    <mergeCell ref="C61:E61"/>
    <mergeCell ref="F61:H61"/>
    <mergeCell ref="I61:K61"/>
  </mergeCells>
  <pageMargins left="0.31496062992126" right="0.31496062992126" top="0.35433070866141703" bottom="0.27559055118110198" header="0" footer="0.118110236220472"/>
  <pageSetup paperSize="9" scale="69" fitToHeight="0" orientation="portrait" verticalDpi="12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Q81"/>
  <sheetViews>
    <sheetView topLeftCell="A70" zoomScaleSheetLayoutView="106" workbookViewId="0">
      <selection activeCell="C58" sqref="C58:L58"/>
    </sheetView>
  </sheetViews>
  <sheetFormatPr defaultColWidth="11" defaultRowHeight="15"/>
  <cols>
    <col min="1" max="1" width="7.7109375" customWidth="1"/>
    <col min="2" max="2" width="14.85546875" customWidth="1"/>
  </cols>
  <sheetData>
    <row r="1" spans="1:13" ht="9.75" customHeight="1"/>
    <row r="2" spans="1:13">
      <c r="E2" s="171" t="s">
        <v>236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4" spans="1:13" ht="7.5" customHeight="1"/>
    <row r="5" spans="1:13">
      <c r="C5" s="2" t="s">
        <v>237</v>
      </c>
      <c r="G5" s="5" t="s">
        <v>39</v>
      </c>
      <c r="H5" s="6">
        <f>+'SERVICE ETAGE'!H5</f>
        <v>46244</v>
      </c>
    </row>
    <row r="6" spans="1:13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>
      <c r="A8" t="s">
        <v>238</v>
      </c>
      <c r="B8" s="10" t="s">
        <v>239</v>
      </c>
      <c r="C8" s="25">
        <v>0.3125</v>
      </c>
      <c r="D8" s="11">
        <v>0.5</v>
      </c>
      <c r="E8" s="11">
        <f t="shared" ref="E8" si="0">IF(D8&gt;C8,D8-C8,C8-D8)</f>
        <v>0.1875</v>
      </c>
      <c r="F8" s="11">
        <v>0.52083333333333304</v>
      </c>
      <c r="G8" s="25">
        <v>0.66666666666666696</v>
      </c>
      <c r="H8" s="11">
        <f t="shared" ref="H8" si="1">IF(G8&gt;F8,G8-F8,F8-G8)</f>
        <v>0.14583333333333301</v>
      </c>
      <c r="I8" s="17"/>
      <c r="J8" s="17"/>
      <c r="K8" s="11">
        <f t="shared" ref="K8" si="2">IF(J8&gt;I8,J8-I8,I8-J8)</f>
        <v>0</v>
      </c>
      <c r="L8" s="11">
        <f t="shared" ref="L8:L12" si="3">E8+H8+K8</f>
        <v>0.33333333333333298</v>
      </c>
    </row>
    <row r="9" spans="1:13">
      <c r="A9" t="s">
        <v>240</v>
      </c>
      <c r="B9" s="10" t="s">
        <v>241</v>
      </c>
      <c r="C9" s="25">
        <v>0.25</v>
      </c>
      <c r="D9" s="11">
        <v>0.5</v>
      </c>
      <c r="E9" s="11">
        <f t="shared" ref="E9:E10" si="4">IF(D9&gt;C9,D9-C9,C9-D9)</f>
        <v>0.25</v>
      </c>
      <c r="F9" s="11">
        <v>0.52083333333333304</v>
      </c>
      <c r="G9" s="25">
        <v>0.70833333333333304</v>
      </c>
      <c r="H9" s="11">
        <f t="shared" ref="H9:H10" si="5">IF(G9&gt;F9,G9-F9,F9-G9)</f>
        <v>0.1875</v>
      </c>
      <c r="I9" s="17"/>
      <c r="J9" s="17"/>
      <c r="K9" s="11">
        <f t="shared" ref="K9:K10" si="6">IF(J9&gt;I9,J9-I9,I9-J9)</f>
        <v>0</v>
      </c>
      <c r="L9" s="11">
        <f t="shared" si="3"/>
        <v>0.4375</v>
      </c>
    </row>
    <row r="10" spans="1:13">
      <c r="A10" t="s">
        <v>242</v>
      </c>
      <c r="B10" s="10" t="s">
        <v>243</v>
      </c>
      <c r="C10" s="25">
        <v>0.3125</v>
      </c>
      <c r="D10" s="11">
        <v>0.5</v>
      </c>
      <c r="E10" s="11">
        <f t="shared" si="4"/>
        <v>0.1875</v>
      </c>
      <c r="F10" s="11">
        <v>0.52083333333333304</v>
      </c>
      <c r="G10" s="25">
        <v>0.66666666666666696</v>
      </c>
      <c r="H10" s="11">
        <f t="shared" si="5"/>
        <v>0.14583333333333301</v>
      </c>
      <c r="I10" s="17"/>
      <c r="J10" s="17"/>
      <c r="K10" s="11">
        <f t="shared" si="6"/>
        <v>0</v>
      </c>
      <c r="L10" s="11">
        <f t="shared" si="3"/>
        <v>0.33333333333333298</v>
      </c>
    </row>
    <row r="11" spans="1:13">
      <c r="A11" t="s">
        <v>226</v>
      </c>
      <c r="B11" s="10" t="s">
        <v>244</v>
      </c>
      <c r="C11" s="25">
        <v>0.3125</v>
      </c>
      <c r="D11" s="11">
        <v>0.5</v>
      </c>
      <c r="E11" s="11">
        <f t="shared" ref="E11" si="7">IF(D11&gt;C11,D11-C11,C11-D11)</f>
        <v>0.1875</v>
      </c>
      <c r="F11" s="11">
        <v>0.52083333333333304</v>
      </c>
      <c r="G11" s="25">
        <v>0.66666666666666696</v>
      </c>
      <c r="H11" s="11">
        <f t="shared" ref="H11" si="8">IF(G11&gt;F11,G11-F11,F11-G11)</f>
        <v>0.14583333333333393</v>
      </c>
      <c r="I11" s="17"/>
      <c r="J11" s="17"/>
      <c r="K11" s="11">
        <f t="shared" ref="K11" si="9">IF(J11&gt;I11,J11-I11,I11-J11)</f>
        <v>0</v>
      </c>
      <c r="L11" s="11">
        <f t="shared" ref="L11" si="10">E11+H11+K11</f>
        <v>0.33333333333333393</v>
      </c>
      <c r="M11" t="s">
        <v>25</v>
      </c>
    </row>
    <row r="12" spans="1:13">
      <c r="B12" s="13" t="s">
        <v>245</v>
      </c>
      <c r="C12" s="25">
        <v>0.3125</v>
      </c>
      <c r="D12" s="11">
        <v>0.5</v>
      </c>
      <c r="E12" s="11">
        <f t="shared" ref="E12" si="11">IF(D12&gt;C12,D12-C12,C12-D12)</f>
        <v>0.1875</v>
      </c>
      <c r="F12" s="11">
        <v>0.52083333333333304</v>
      </c>
      <c r="G12" s="25">
        <v>0.66666666666666696</v>
      </c>
      <c r="H12" s="11">
        <f t="shared" ref="H12" si="12">IF(G12&gt;F12,G12-F12,F12-G12)</f>
        <v>0.14583333333333301</v>
      </c>
      <c r="I12" s="17"/>
      <c r="J12" s="17"/>
      <c r="K12" s="11">
        <f t="shared" ref="K12" si="13">IF(J12&gt;I12,J12-I12,I12-J12)</f>
        <v>0</v>
      </c>
      <c r="L12" s="11">
        <f t="shared" si="3"/>
        <v>0.33333333333333298</v>
      </c>
    </row>
    <row r="13" spans="1:13">
      <c r="E13" s="15">
        <f>SUM(E8:E12)</f>
        <v>1</v>
      </c>
      <c r="H13" s="15">
        <f>SUM(H8:H12)</f>
        <v>0.77083333333333304</v>
      </c>
      <c r="K13" s="15">
        <f>SUM(K8:K12)</f>
        <v>0</v>
      </c>
      <c r="L13" s="15">
        <f>SUM(L8:L12)</f>
        <v>1.770833333333333</v>
      </c>
    </row>
    <row r="15" spans="1:13">
      <c r="C15" s="2" t="s">
        <v>237</v>
      </c>
      <c r="G15" s="5" t="s">
        <v>32</v>
      </c>
      <c r="H15" s="6">
        <f>+H5+1</f>
        <v>46245</v>
      </c>
    </row>
    <row r="16" spans="1:13">
      <c r="C16" s="168" t="s">
        <v>3</v>
      </c>
      <c r="D16" s="168"/>
      <c r="E16" s="168"/>
      <c r="F16" s="169" t="s">
        <v>4</v>
      </c>
      <c r="G16" s="169"/>
      <c r="H16" s="169"/>
      <c r="I16" s="170" t="s">
        <v>5</v>
      </c>
      <c r="J16" s="170"/>
      <c r="K16" s="170"/>
    </row>
    <row r="17" spans="1:13">
      <c r="B17" s="7" t="s">
        <v>6</v>
      </c>
      <c r="C17" s="8" t="s">
        <v>7</v>
      </c>
      <c r="D17" s="8" t="s">
        <v>8</v>
      </c>
      <c r="E17" s="8" t="s">
        <v>9</v>
      </c>
      <c r="F17" s="9" t="s">
        <v>7</v>
      </c>
      <c r="G17" s="9" t="s">
        <v>8</v>
      </c>
      <c r="H17" s="9" t="s">
        <v>9</v>
      </c>
      <c r="I17" s="16" t="s">
        <v>7</v>
      </c>
      <c r="J17" s="16" t="s">
        <v>8</v>
      </c>
      <c r="K17" s="16" t="s">
        <v>9</v>
      </c>
      <c r="L17" s="7" t="s">
        <v>10</v>
      </c>
    </row>
    <row r="18" spans="1:13">
      <c r="A18" t="s">
        <v>238</v>
      </c>
      <c r="B18" s="10" t="s">
        <v>239</v>
      </c>
      <c r="C18" s="19"/>
      <c r="D18" s="19"/>
      <c r="E18" s="19">
        <f t="shared" ref="E18" si="14">IF(D18&gt;C18,D18-C18,C18-D18)</f>
        <v>0</v>
      </c>
      <c r="F18" s="19"/>
      <c r="G18" s="19"/>
      <c r="H18" s="19">
        <f t="shared" ref="H18" si="15">IF(G18&gt;F18,G18-F18,F18-G18)</f>
        <v>0</v>
      </c>
      <c r="I18" s="22"/>
      <c r="J18" s="22"/>
      <c r="K18" s="19">
        <f t="shared" ref="K18" si="16">IF(J18&gt;I18,J18-I18,I18-J18)</f>
        <v>0</v>
      </c>
      <c r="L18" s="11">
        <f t="shared" ref="L18" si="17">E18+H18+K18</f>
        <v>0</v>
      </c>
      <c r="M18" t="s">
        <v>25</v>
      </c>
    </row>
    <row r="19" spans="1:13">
      <c r="A19" t="s">
        <v>240</v>
      </c>
      <c r="B19" s="10" t="s">
        <v>241</v>
      </c>
      <c r="C19" s="25">
        <v>0.25</v>
      </c>
      <c r="D19" s="11">
        <v>0.5</v>
      </c>
      <c r="E19" s="11">
        <f t="shared" ref="E19:E21" si="18">IF(D19&gt;C19,D19-C19,C19-D19)</f>
        <v>0.25</v>
      </c>
      <c r="F19" s="11">
        <v>0.52083333333333304</v>
      </c>
      <c r="G19" s="25">
        <v>0.58333333333333304</v>
      </c>
      <c r="H19" s="11">
        <f t="shared" ref="H19:H21" si="19">IF(G19&gt;F19,G19-F19,F19-G19)</f>
        <v>6.25E-2</v>
      </c>
      <c r="I19" s="17"/>
      <c r="J19" s="17"/>
      <c r="K19" s="11">
        <f t="shared" ref="K19:K21" si="20">IF(J19&gt;I19,J19-I19,I19-J19)</f>
        <v>0</v>
      </c>
      <c r="L19" s="11">
        <f t="shared" ref="L19:L21" si="21">E19+H19+K19</f>
        <v>0.3125</v>
      </c>
    </row>
    <row r="20" spans="1:13">
      <c r="A20" t="s">
        <v>242</v>
      </c>
      <c r="B20" s="10" t="s">
        <v>243</v>
      </c>
      <c r="C20" s="25">
        <v>0.3125</v>
      </c>
      <c r="D20" s="11">
        <v>0.5</v>
      </c>
      <c r="E20" s="11">
        <f t="shared" si="18"/>
        <v>0.1875</v>
      </c>
      <c r="F20" s="11">
        <v>0.52083333333333304</v>
      </c>
      <c r="G20" s="25">
        <v>0.66666666666666696</v>
      </c>
      <c r="H20" s="11">
        <f t="shared" si="19"/>
        <v>0.14583333333333301</v>
      </c>
      <c r="I20" s="17"/>
      <c r="J20" s="17"/>
      <c r="K20" s="11">
        <f t="shared" si="20"/>
        <v>0</v>
      </c>
      <c r="L20" s="11">
        <f t="shared" si="21"/>
        <v>0.33333333333333298</v>
      </c>
    </row>
    <row r="21" spans="1:13">
      <c r="A21" t="s">
        <v>226</v>
      </c>
      <c r="B21" s="10" t="s">
        <v>244</v>
      </c>
      <c r="C21" s="25">
        <v>0.3125</v>
      </c>
      <c r="D21" s="11">
        <v>0.5</v>
      </c>
      <c r="E21" s="11">
        <f t="shared" si="18"/>
        <v>0.1875</v>
      </c>
      <c r="F21" s="11">
        <v>0.52083333333333304</v>
      </c>
      <c r="G21" s="25">
        <v>0.66666666666666696</v>
      </c>
      <c r="H21" s="11">
        <f t="shared" si="19"/>
        <v>0.14583333333333393</v>
      </c>
      <c r="I21" s="17"/>
      <c r="J21" s="17"/>
      <c r="K21" s="11">
        <f t="shared" si="20"/>
        <v>0</v>
      </c>
      <c r="L21" s="11">
        <f t="shared" si="21"/>
        <v>0.33333333333333393</v>
      </c>
      <c r="M21" t="s">
        <v>25</v>
      </c>
    </row>
    <row r="22" spans="1:13">
      <c r="B22" s="13" t="s">
        <v>245</v>
      </c>
      <c r="C22" s="25">
        <v>0.29166666666666702</v>
      </c>
      <c r="D22" s="11">
        <v>0.5</v>
      </c>
      <c r="E22" s="11">
        <f t="shared" ref="E22" si="22">IF(D22&gt;C22,D22-C22,C22-D22)</f>
        <v>0.20833333333333301</v>
      </c>
      <c r="F22" s="11">
        <v>0.52083333333333304</v>
      </c>
      <c r="G22" s="25">
        <v>0.70833333333333304</v>
      </c>
      <c r="H22" s="11">
        <f t="shared" ref="H22" si="23">IF(G22&gt;F22,G22-F22,F22-G22)</f>
        <v>0.1875</v>
      </c>
      <c r="I22" s="17"/>
      <c r="J22" s="17"/>
      <c r="K22" s="11">
        <f t="shared" ref="K22" si="24">IF(J22&gt;I22,J22-I22,I22-J22)</f>
        <v>0</v>
      </c>
      <c r="L22" s="11">
        <f t="shared" ref="L22" si="25">E22+H22+K22</f>
        <v>0.39583333333333298</v>
      </c>
    </row>
    <row r="23" spans="1:13">
      <c r="E23" s="15">
        <f>SUM(E18:E22)</f>
        <v>0.83333333333333304</v>
      </c>
      <c r="H23" s="15">
        <f>SUM(H18:H22)</f>
        <v>0.54166666666666696</v>
      </c>
      <c r="K23" s="15">
        <f>SUM(K18:K22)</f>
        <v>0</v>
      </c>
      <c r="L23" s="15">
        <f>SUM(L18:L22)</f>
        <v>1.375</v>
      </c>
    </row>
    <row r="24" spans="1:13">
      <c r="E24" s="11"/>
      <c r="H24" s="11"/>
      <c r="K24" s="11"/>
      <c r="L24" s="15"/>
    </row>
    <row r="25" spans="1:13">
      <c r="C25" s="2" t="s">
        <v>237</v>
      </c>
      <c r="G25" s="5" t="s">
        <v>34</v>
      </c>
      <c r="H25" s="6">
        <f>+H15+1</f>
        <v>46246</v>
      </c>
    </row>
    <row r="26" spans="1:13">
      <c r="C26" s="168" t="s">
        <v>3</v>
      </c>
      <c r="D26" s="168"/>
      <c r="E26" s="168"/>
      <c r="F26" s="169" t="s">
        <v>4</v>
      </c>
      <c r="G26" s="169"/>
      <c r="H26" s="169"/>
      <c r="I26" s="170" t="s">
        <v>5</v>
      </c>
      <c r="J26" s="170"/>
      <c r="K26" s="170"/>
    </row>
    <row r="27" spans="1:13">
      <c r="B27" s="7" t="s">
        <v>6</v>
      </c>
      <c r="C27" s="8" t="s">
        <v>7</v>
      </c>
      <c r="D27" s="8" t="s">
        <v>8</v>
      </c>
      <c r="E27" s="8" t="s">
        <v>9</v>
      </c>
      <c r="F27" s="9" t="s">
        <v>7</v>
      </c>
      <c r="G27" s="9" t="s">
        <v>8</v>
      </c>
      <c r="H27" s="9" t="s">
        <v>9</v>
      </c>
      <c r="I27" s="16" t="s">
        <v>7</v>
      </c>
      <c r="J27" s="16" t="s">
        <v>8</v>
      </c>
      <c r="K27" s="16" t="s">
        <v>9</v>
      </c>
      <c r="L27" s="7" t="s">
        <v>10</v>
      </c>
    </row>
    <row r="28" spans="1:13">
      <c r="A28" t="s">
        <v>238</v>
      </c>
      <c r="B28" s="10" t="s">
        <v>239</v>
      </c>
      <c r="C28" s="25">
        <v>0.3125</v>
      </c>
      <c r="D28" s="11">
        <v>0.5</v>
      </c>
      <c r="E28" s="11">
        <f t="shared" ref="E28:E31" si="26">IF(D28&gt;C28,D28-C28,C28-D28)</f>
        <v>0.1875</v>
      </c>
      <c r="F28" s="11">
        <v>0.52083333333333304</v>
      </c>
      <c r="G28" s="25">
        <v>0.66666666666666696</v>
      </c>
      <c r="H28" s="11">
        <f t="shared" ref="H28:H31" si="27">IF(G28&gt;F28,G28-F28,F28-G28)</f>
        <v>0.14583333333333301</v>
      </c>
      <c r="I28" s="17"/>
      <c r="J28" s="17"/>
      <c r="K28" s="11">
        <f t="shared" ref="K28:K31" si="28">IF(J28&gt;I28,J28-I28,I28-J28)</f>
        <v>0</v>
      </c>
      <c r="L28" s="11">
        <f t="shared" ref="L28:L31" si="29">E28+H28+K28</f>
        <v>0.33333333333333298</v>
      </c>
    </row>
    <row r="29" spans="1:13">
      <c r="A29" t="s">
        <v>240</v>
      </c>
      <c r="B29" s="10" t="s">
        <v>241</v>
      </c>
      <c r="C29" s="25">
        <v>0.25</v>
      </c>
      <c r="D29" s="11">
        <v>0.5</v>
      </c>
      <c r="E29" s="11">
        <f t="shared" si="26"/>
        <v>0.25</v>
      </c>
      <c r="F29" s="11">
        <v>0.52083333333333304</v>
      </c>
      <c r="G29" s="25">
        <v>0.58333333333333304</v>
      </c>
      <c r="H29" s="11">
        <f t="shared" si="27"/>
        <v>6.25E-2</v>
      </c>
      <c r="I29" s="17"/>
      <c r="J29" s="17"/>
      <c r="K29" s="11">
        <f t="shared" si="28"/>
        <v>0</v>
      </c>
      <c r="L29" s="11">
        <f t="shared" si="29"/>
        <v>0.3125</v>
      </c>
    </row>
    <row r="30" spans="1:13">
      <c r="A30" t="s">
        <v>242</v>
      </c>
      <c r="B30" s="10" t="s">
        <v>243</v>
      </c>
      <c r="C30" s="25">
        <v>0.29166666666666702</v>
      </c>
      <c r="D30" s="11">
        <v>0.5</v>
      </c>
      <c r="E30" s="11">
        <f t="shared" si="26"/>
        <v>0.20833333333333301</v>
      </c>
      <c r="F30" s="11">
        <v>0.52083333333333304</v>
      </c>
      <c r="G30" s="25">
        <v>0.70833333333333304</v>
      </c>
      <c r="H30" s="11">
        <f t="shared" si="27"/>
        <v>0.1875</v>
      </c>
      <c r="I30" s="17"/>
      <c r="J30" s="17"/>
      <c r="K30" s="11">
        <f t="shared" si="28"/>
        <v>0</v>
      </c>
      <c r="L30" s="11">
        <f t="shared" si="29"/>
        <v>0.39583333333333298</v>
      </c>
      <c r="M30" t="s">
        <v>25</v>
      </c>
    </row>
    <row r="31" spans="1:13">
      <c r="A31" t="s">
        <v>226</v>
      </c>
      <c r="B31" s="10" t="s">
        <v>244</v>
      </c>
      <c r="C31" s="19"/>
      <c r="D31" s="19"/>
      <c r="E31" s="19">
        <f t="shared" si="26"/>
        <v>0</v>
      </c>
      <c r="F31" s="19"/>
      <c r="G31" s="19"/>
      <c r="H31" s="19">
        <f t="shared" si="27"/>
        <v>0</v>
      </c>
      <c r="I31" s="22"/>
      <c r="J31" s="22"/>
      <c r="K31" s="19">
        <f t="shared" si="28"/>
        <v>0</v>
      </c>
      <c r="L31" s="11">
        <f t="shared" si="29"/>
        <v>0</v>
      </c>
      <c r="M31" t="s">
        <v>25</v>
      </c>
    </row>
    <row r="32" spans="1:13">
      <c r="B32" s="13" t="s">
        <v>245</v>
      </c>
      <c r="C32" s="25">
        <v>0.3125</v>
      </c>
      <c r="D32" s="11">
        <v>0.5</v>
      </c>
      <c r="E32" s="11">
        <f t="shared" ref="E32" si="30">IF(D32&gt;C32,D32-C32,C32-D32)</f>
        <v>0.1875</v>
      </c>
      <c r="F32" s="11">
        <v>0.52083333333333304</v>
      </c>
      <c r="G32" s="25">
        <v>0.66666666666666696</v>
      </c>
      <c r="H32" s="11">
        <f t="shared" ref="H32" si="31">IF(G32&gt;F32,G32-F32,F32-G32)</f>
        <v>0.14583333333333301</v>
      </c>
      <c r="I32" s="17"/>
      <c r="J32" s="17"/>
      <c r="K32" s="11">
        <f t="shared" ref="K32" si="32">IF(J32&gt;I32,J32-I32,I32-J32)</f>
        <v>0</v>
      </c>
      <c r="L32" s="11">
        <f t="shared" ref="L32" si="33">E32+H32+K32</f>
        <v>0.33333333333333298</v>
      </c>
    </row>
    <row r="33" spans="1:13">
      <c r="E33" s="15">
        <f>SUM(E28:E32)</f>
        <v>0.83333333333333304</v>
      </c>
      <c r="H33" s="15">
        <f>SUM(H28:H32)</f>
        <v>0.54166666666666607</v>
      </c>
      <c r="K33" s="15">
        <f>SUM(K28:K32)</f>
        <v>0</v>
      </c>
      <c r="L33" s="15">
        <f>SUM(L28:L32)</f>
        <v>1.3749999999999991</v>
      </c>
    </row>
    <row r="34" spans="1:13">
      <c r="E34" s="23"/>
      <c r="H34" s="23"/>
      <c r="K34" s="23"/>
      <c r="L34" s="23"/>
    </row>
    <row r="35" spans="1:13">
      <c r="C35" s="2" t="s">
        <v>237</v>
      </c>
      <c r="G35" s="5" t="s">
        <v>35</v>
      </c>
      <c r="H35" s="6">
        <f>+H25+1</f>
        <v>46247</v>
      </c>
    </row>
    <row r="36" spans="1:13">
      <c r="C36" s="168" t="s">
        <v>3</v>
      </c>
      <c r="D36" s="168"/>
      <c r="E36" s="168"/>
      <c r="F36" s="169" t="s">
        <v>4</v>
      </c>
      <c r="G36" s="169"/>
      <c r="H36" s="169"/>
      <c r="I36" s="170" t="s">
        <v>5</v>
      </c>
      <c r="J36" s="170"/>
      <c r="K36" s="170"/>
    </row>
    <row r="37" spans="1:13">
      <c r="B37" s="7" t="s">
        <v>6</v>
      </c>
      <c r="C37" s="8" t="s">
        <v>7</v>
      </c>
      <c r="D37" s="8" t="s">
        <v>8</v>
      </c>
      <c r="E37" s="8" t="s">
        <v>9</v>
      </c>
      <c r="F37" s="9" t="s">
        <v>7</v>
      </c>
      <c r="G37" s="9" t="s">
        <v>8</v>
      </c>
      <c r="H37" s="9" t="s">
        <v>9</v>
      </c>
      <c r="I37" s="16" t="s">
        <v>7</v>
      </c>
      <c r="J37" s="16" t="s">
        <v>8</v>
      </c>
      <c r="K37" s="16" t="s">
        <v>9</v>
      </c>
      <c r="L37" s="7" t="s">
        <v>10</v>
      </c>
    </row>
    <row r="38" spans="1:13">
      <c r="A38" t="s">
        <v>238</v>
      </c>
      <c r="B38" s="10" t="s">
        <v>239</v>
      </c>
      <c r="C38" s="25">
        <v>0.3125</v>
      </c>
      <c r="D38" s="11">
        <v>0.5</v>
      </c>
      <c r="E38" s="11">
        <f t="shared" ref="E38:E40" si="34">IF(D38&gt;C38,D38-C38,C38-D38)</f>
        <v>0.1875</v>
      </c>
      <c r="F38" s="11">
        <v>0.52083333333333304</v>
      </c>
      <c r="G38" s="25">
        <v>0.70833333333333304</v>
      </c>
      <c r="H38" s="11">
        <f t="shared" ref="H38:H40" si="35">IF(G38&gt;F38,G38-F38,F38-G38)</f>
        <v>0.1875</v>
      </c>
      <c r="I38" s="17"/>
      <c r="J38" s="17"/>
      <c r="K38" s="11">
        <f t="shared" ref="K38:K40" si="36">IF(J38&gt;I38,J38-I38,I38-J38)</f>
        <v>0</v>
      </c>
      <c r="L38" s="11">
        <f t="shared" ref="L38:L39" si="37">E38+H38+K38</f>
        <v>0.375</v>
      </c>
    </row>
    <row r="39" spans="1:13">
      <c r="A39" t="s">
        <v>240</v>
      </c>
      <c r="B39" s="10" t="s">
        <v>241</v>
      </c>
      <c r="C39" s="25">
        <v>0.25</v>
      </c>
      <c r="D39" s="11">
        <v>0.5</v>
      </c>
      <c r="E39" s="11">
        <f t="shared" si="34"/>
        <v>0.25</v>
      </c>
      <c r="F39" s="11">
        <v>0.52083333333333304</v>
      </c>
      <c r="G39" s="25">
        <v>0.58333333333333304</v>
      </c>
      <c r="H39" s="11">
        <f t="shared" si="35"/>
        <v>6.25E-2</v>
      </c>
      <c r="I39" s="17"/>
      <c r="J39" s="17"/>
      <c r="K39" s="11">
        <f t="shared" si="36"/>
        <v>0</v>
      </c>
      <c r="L39" s="11">
        <f t="shared" si="37"/>
        <v>0.3125</v>
      </c>
    </row>
    <row r="40" spans="1:13">
      <c r="A40" t="s">
        <v>242</v>
      </c>
      <c r="B40" s="10" t="s">
        <v>243</v>
      </c>
      <c r="C40" s="19"/>
      <c r="D40" s="19"/>
      <c r="E40" s="19">
        <f t="shared" si="34"/>
        <v>0</v>
      </c>
      <c r="F40" s="19"/>
      <c r="G40" s="19"/>
      <c r="H40" s="19">
        <f t="shared" si="35"/>
        <v>0</v>
      </c>
      <c r="I40" s="22"/>
      <c r="J40" s="22"/>
      <c r="K40" s="19">
        <f t="shared" si="36"/>
        <v>0</v>
      </c>
      <c r="L40" s="11">
        <f t="shared" ref="L40:L41" si="38">E40+H40+K40</f>
        <v>0</v>
      </c>
      <c r="M40" t="s">
        <v>25</v>
      </c>
    </row>
    <row r="41" spans="1:13">
      <c r="A41" t="s">
        <v>226</v>
      </c>
      <c r="B41" s="10" t="s">
        <v>244</v>
      </c>
      <c r="C41" s="25">
        <v>0.3125</v>
      </c>
      <c r="D41" s="11">
        <v>0.5</v>
      </c>
      <c r="E41" s="11">
        <f t="shared" ref="E41" si="39">IF(D41&gt;C41,D41-C41,C41-D41)</f>
        <v>0.1875</v>
      </c>
      <c r="F41" s="11">
        <v>0.52083333333333304</v>
      </c>
      <c r="G41" s="25">
        <v>0.66666666666666696</v>
      </c>
      <c r="H41" s="11">
        <f t="shared" ref="H41" si="40">IF(G41&gt;F41,G41-F41,F41-G41)</f>
        <v>0.14583333333333301</v>
      </c>
      <c r="I41" s="17"/>
      <c r="J41" s="17"/>
      <c r="K41" s="11">
        <f t="shared" ref="K41" si="41">IF(J41&gt;I41,J41-I41,I41-J41)</f>
        <v>0</v>
      </c>
      <c r="L41" s="11">
        <f t="shared" si="38"/>
        <v>0.33333333333333298</v>
      </c>
    </row>
    <row r="42" spans="1:13">
      <c r="B42" s="13" t="s">
        <v>245</v>
      </c>
      <c r="C42" s="25">
        <v>0.3125</v>
      </c>
      <c r="D42" s="11">
        <v>0.5</v>
      </c>
      <c r="E42" s="11">
        <f t="shared" ref="E42" si="42">IF(D42&gt;C42,D42-C42,C42-D42)</f>
        <v>0.1875</v>
      </c>
      <c r="F42" s="11">
        <v>0.52083333333333304</v>
      </c>
      <c r="G42" s="25">
        <v>0.58333333333333304</v>
      </c>
      <c r="H42" s="11">
        <f t="shared" ref="H42" si="43">IF(G42&gt;F42,G42-F42,F42-G42)</f>
        <v>6.25E-2</v>
      </c>
      <c r="I42" s="17"/>
      <c r="J42" s="17"/>
      <c r="K42" s="11">
        <f t="shared" ref="K42" si="44">IF(J42&gt;I42,J42-I42,I42-J42)</f>
        <v>0</v>
      </c>
      <c r="L42" s="11">
        <f t="shared" ref="L42" si="45">E42+H42+K42</f>
        <v>0.25</v>
      </c>
    </row>
    <row r="43" spans="1:13">
      <c r="E43" s="15">
        <f>SUM(E38:E42)</f>
        <v>0.8125</v>
      </c>
      <c r="H43" s="15">
        <f>SUM(H38:H42)</f>
        <v>0.45833333333333298</v>
      </c>
      <c r="K43" s="15">
        <f>SUM(K38:K42)</f>
        <v>0</v>
      </c>
      <c r="L43" s="15">
        <f>SUM(L38:L42)</f>
        <v>1.2708333333333299</v>
      </c>
    </row>
    <row r="45" spans="1:13">
      <c r="C45" s="2" t="s">
        <v>237</v>
      </c>
      <c r="G45" s="5" t="s">
        <v>36</v>
      </c>
      <c r="H45" s="6">
        <f>+H35+1</f>
        <v>46248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t="s">
        <v>238</v>
      </c>
      <c r="B48" s="10" t="s">
        <v>239</v>
      </c>
      <c r="C48" s="25">
        <v>0.3125</v>
      </c>
      <c r="D48" s="11">
        <v>0.5</v>
      </c>
      <c r="E48" s="11">
        <f t="shared" ref="E48:E49" si="46">IF(D48&gt;C48,D48-C48,C48-D48)</f>
        <v>0.1875</v>
      </c>
      <c r="F48" s="11">
        <v>0.52083333333333304</v>
      </c>
      <c r="G48" s="25">
        <v>0.58333333333333304</v>
      </c>
      <c r="H48" s="11">
        <f t="shared" ref="H48:H49" si="47">IF(G48&gt;F48,G48-F48,F48-G48)</f>
        <v>6.25E-2</v>
      </c>
      <c r="I48" s="17"/>
      <c r="J48" s="17"/>
      <c r="K48" s="11">
        <f t="shared" ref="K48:K49" si="48">IF(J48&gt;I48,J48-I48,I48-J48)</f>
        <v>0</v>
      </c>
      <c r="L48" s="11">
        <f t="shared" ref="L48:L49" si="49">E48+H48+K48</f>
        <v>0.25</v>
      </c>
    </row>
    <row r="49" spans="1:17">
      <c r="A49" t="s">
        <v>240</v>
      </c>
      <c r="B49" s="10" t="s">
        <v>241</v>
      </c>
      <c r="C49" s="25">
        <v>0.25</v>
      </c>
      <c r="D49" s="11">
        <v>0.5</v>
      </c>
      <c r="E49" s="11">
        <f t="shared" si="46"/>
        <v>0.25</v>
      </c>
      <c r="F49" s="11">
        <v>0.52083333333333304</v>
      </c>
      <c r="G49" s="25">
        <v>0.58333333333333304</v>
      </c>
      <c r="H49" s="11">
        <f t="shared" si="47"/>
        <v>6.25E-2</v>
      </c>
      <c r="I49" s="17"/>
      <c r="J49" s="17"/>
      <c r="K49" s="11">
        <f t="shared" si="48"/>
        <v>0</v>
      </c>
      <c r="L49" s="11">
        <f t="shared" si="49"/>
        <v>0.3125</v>
      </c>
    </row>
    <row r="50" spans="1:17">
      <c r="A50" t="s">
        <v>242</v>
      </c>
      <c r="B50" s="10" t="s">
        <v>243</v>
      </c>
      <c r="C50" s="25">
        <v>0.3125</v>
      </c>
      <c r="D50" s="11">
        <v>0.5</v>
      </c>
      <c r="E50" s="11">
        <f t="shared" ref="E50:E51" si="50">IF(D50&gt;C50,D50-C50,C50-D50)</f>
        <v>0.1875</v>
      </c>
      <c r="F50" s="11">
        <v>0.52083333333333304</v>
      </c>
      <c r="G50" s="25">
        <v>0.66666666666666696</v>
      </c>
      <c r="H50" s="11">
        <f t="shared" ref="H50:H52" si="51">IF(G50&gt;F50,G50-F50,F50-G50)</f>
        <v>0.14583333333333393</v>
      </c>
      <c r="I50" s="17"/>
      <c r="J50" s="17"/>
      <c r="K50" s="11">
        <f t="shared" ref="K50:K52" si="52">IF(J50&gt;I50,J50-I50,I50-J50)</f>
        <v>0</v>
      </c>
      <c r="L50" s="11">
        <f t="shared" ref="L50:L51" si="53">E50+H50+K50</f>
        <v>0.33333333333333393</v>
      </c>
    </row>
    <row r="51" spans="1:17">
      <c r="A51" t="s">
        <v>226</v>
      </c>
      <c r="B51" s="10" t="s">
        <v>244</v>
      </c>
      <c r="C51" s="25">
        <v>0.29166666666666702</v>
      </c>
      <c r="D51" s="11">
        <v>0.5</v>
      </c>
      <c r="E51" s="11">
        <f t="shared" si="50"/>
        <v>0.20833333333333301</v>
      </c>
      <c r="F51" s="11">
        <v>0.52083333333333304</v>
      </c>
      <c r="G51" s="25">
        <v>0.70833333333333304</v>
      </c>
      <c r="H51" s="11">
        <f t="shared" si="51"/>
        <v>0.1875</v>
      </c>
      <c r="I51" s="17"/>
      <c r="J51" s="17"/>
      <c r="K51" s="11">
        <f t="shared" si="52"/>
        <v>0</v>
      </c>
      <c r="L51" s="11">
        <f t="shared" si="53"/>
        <v>0.39583333333333298</v>
      </c>
    </row>
    <row r="52" spans="1:17">
      <c r="B52" s="13" t="s">
        <v>245</v>
      </c>
      <c r="C52" s="19"/>
      <c r="D52" s="19"/>
      <c r="E52" s="19">
        <f t="shared" ref="E52" si="54">IF(D52&gt;C52,D52-C52,C52-D52)</f>
        <v>0</v>
      </c>
      <c r="F52" s="19"/>
      <c r="G52" s="19"/>
      <c r="H52" s="19">
        <f t="shared" si="51"/>
        <v>0</v>
      </c>
      <c r="I52" s="22"/>
      <c r="J52" s="22"/>
      <c r="K52" s="19">
        <f t="shared" si="52"/>
        <v>0</v>
      </c>
      <c r="L52" s="11">
        <f t="shared" ref="L52" si="55">E52+H52+K52</f>
        <v>0</v>
      </c>
      <c r="M52" t="s">
        <v>25</v>
      </c>
    </row>
    <row r="53" spans="1:17">
      <c r="E53" s="15">
        <f>SUM(E48:E52)</f>
        <v>0.83333333333333304</v>
      </c>
      <c r="H53" s="15">
        <f>SUM(H48:H52)</f>
        <v>0.45833333333333393</v>
      </c>
      <c r="K53" s="15">
        <f>SUM(K48:K52)</f>
        <v>0</v>
      </c>
      <c r="L53" s="15">
        <f>SUM(L48:L52)</f>
        <v>1.291666666666667</v>
      </c>
    </row>
    <row r="54" spans="1:17">
      <c r="E54" s="23"/>
      <c r="H54" s="23"/>
      <c r="K54" s="23"/>
      <c r="L54" s="23"/>
    </row>
    <row r="55" spans="1:17">
      <c r="C55" s="2" t="s">
        <v>237</v>
      </c>
      <c r="G55" s="5" t="s">
        <v>37</v>
      </c>
      <c r="H55" s="6">
        <f>+H45+1</f>
        <v>46249</v>
      </c>
    </row>
    <row r="56" spans="1:17">
      <c r="C56" s="168" t="s">
        <v>3</v>
      </c>
      <c r="D56" s="168"/>
      <c r="E56" s="168"/>
      <c r="F56" s="169" t="s">
        <v>4</v>
      </c>
      <c r="G56" s="169"/>
      <c r="H56" s="169"/>
      <c r="I56" s="170" t="s">
        <v>5</v>
      </c>
      <c r="J56" s="170"/>
      <c r="K56" s="170"/>
      <c r="Q56">
        <f>65*400</f>
        <v>26000</v>
      </c>
    </row>
    <row r="57" spans="1:17">
      <c r="B57" s="7" t="s">
        <v>6</v>
      </c>
      <c r="C57" s="8" t="s">
        <v>7</v>
      </c>
      <c r="D57" s="8" t="s">
        <v>8</v>
      </c>
      <c r="E57" s="8" t="s">
        <v>9</v>
      </c>
      <c r="F57" s="9" t="s">
        <v>7</v>
      </c>
      <c r="G57" s="9" t="s">
        <v>8</v>
      </c>
      <c r="H57" s="9" t="s">
        <v>9</v>
      </c>
      <c r="I57" s="16" t="s">
        <v>7</v>
      </c>
      <c r="J57" s="16" t="s">
        <v>8</v>
      </c>
      <c r="K57" s="16" t="s">
        <v>9</v>
      </c>
      <c r="L57" s="7" t="s">
        <v>10</v>
      </c>
      <c r="Q57">
        <f>+Q56*20%</f>
        <v>5200</v>
      </c>
    </row>
    <row r="58" spans="1:17">
      <c r="A58" t="s">
        <v>238</v>
      </c>
      <c r="B58" s="10" t="s">
        <v>239</v>
      </c>
      <c r="C58" s="25">
        <v>0.3125</v>
      </c>
      <c r="D58" s="11">
        <v>0.5</v>
      </c>
      <c r="E58" s="11">
        <f t="shared" ref="E58" si="56">IF(D58&gt;C58,D58-C58,C58-D58)</f>
        <v>0.1875</v>
      </c>
      <c r="F58" s="11">
        <v>0.52083333333333304</v>
      </c>
      <c r="G58" s="25">
        <v>0.66666666666666696</v>
      </c>
      <c r="H58" s="11">
        <f t="shared" ref="H58" si="57">IF(G58&gt;F58,G58-F58,F58-G58)</f>
        <v>0.14583333333333393</v>
      </c>
      <c r="I58" s="17"/>
      <c r="J58" s="17"/>
      <c r="K58" s="11">
        <f t="shared" ref="K58" si="58">IF(J58&gt;I58,J58-I58,I58-J58)</f>
        <v>0</v>
      </c>
      <c r="L58" s="11">
        <f t="shared" ref="L58" si="59">E58+H58+K58</f>
        <v>0.33333333333333393</v>
      </c>
      <c r="M58" t="s">
        <v>25</v>
      </c>
    </row>
    <row r="59" spans="1:17">
      <c r="A59" t="s">
        <v>240</v>
      </c>
      <c r="B59" s="10" t="s">
        <v>241</v>
      </c>
      <c r="C59" s="25">
        <v>0.25</v>
      </c>
      <c r="D59" s="11">
        <v>0.5</v>
      </c>
      <c r="E59" s="11">
        <f t="shared" ref="E59" si="60">IF(D59&gt;C59,D59-C59,C59-D59)</f>
        <v>0.25</v>
      </c>
      <c r="F59" s="11">
        <v>0.52083333333333304</v>
      </c>
      <c r="G59" s="25">
        <v>0.58333333333333304</v>
      </c>
      <c r="H59" s="11">
        <f t="shared" ref="H59" si="61">IF(G59&gt;F59,G59-F59,F59-G59)</f>
        <v>6.25E-2</v>
      </c>
      <c r="I59" s="17"/>
      <c r="J59" s="17"/>
      <c r="K59" s="11">
        <f t="shared" ref="K59" si="62">IF(J59&gt;I59,J59-I59,I59-J59)</f>
        <v>0</v>
      </c>
      <c r="L59" s="11">
        <f t="shared" ref="L59" si="63">E59+H59+K59</f>
        <v>0.3125</v>
      </c>
    </row>
    <row r="60" spans="1:17">
      <c r="A60" t="s">
        <v>242</v>
      </c>
      <c r="B60" s="10" t="s">
        <v>243</v>
      </c>
      <c r="C60" s="25">
        <v>0.3125</v>
      </c>
      <c r="D60" s="11">
        <v>0.5</v>
      </c>
      <c r="E60" s="11">
        <f t="shared" ref="E60:E61" si="64">IF(D60&gt;C60,D60-C60,C60-D60)</f>
        <v>0.1875</v>
      </c>
      <c r="F60" s="11">
        <v>0.52083333333333304</v>
      </c>
      <c r="G60" s="25">
        <v>0.66666666666666696</v>
      </c>
      <c r="H60" s="11">
        <f t="shared" ref="H60:H62" si="65">IF(G60&gt;F60,G60-F60,F60-G60)</f>
        <v>0.14583333333333301</v>
      </c>
      <c r="I60" s="17"/>
      <c r="J60" s="17"/>
      <c r="K60" s="11">
        <f t="shared" ref="K60:K62" si="66">IF(J60&gt;I60,J60-I60,I60-J60)</f>
        <v>0</v>
      </c>
      <c r="L60" s="11">
        <f t="shared" ref="L60:L61" si="67">E60+H60+K60</f>
        <v>0.33333333333333298</v>
      </c>
    </row>
    <row r="61" spans="1:17">
      <c r="A61" t="s">
        <v>226</v>
      </c>
      <c r="B61" s="10" t="s">
        <v>244</v>
      </c>
      <c r="C61" s="25">
        <v>0.3125</v>
      </c>
      <c r="D61" s="11">
        <v>0.5</v>
      </c>
      <c r="E61" s="11">
        <f t="shared" si="64"/>
        <v>0.1875</v>
      </c>
      <c r="F61" s="11">
        <v>0.52083333333333304</v>
      </c>
      <c r="G61" s="25">
        <v>0.66666666666666696</v>
      </c>
      <c r="H61" s="11">
        <f t="shared" si="65"/>
        <v>0.14583333333333301</v>
      </c>
      <c r="I61" s="17"/>
      <c r="J61" s="17"/>
      <c r="K61" s="11">
        <f t="shared" si="66"/>
        <v>0</v>
      </c>
      <c r="L61" s="11">
        <f t="shared" si="67"/>
        <v>0.33333333333333298</v>
      </c>
    </row>
    <row r="62" spans="1:17">
      <c r="B62" s="13" t="s">
        <v>245</v>
      </c>
      <c r="C62" s="25">
        <v>0.3125</v>
      </c>
      <c r="D62" s="11">
        <v>0.5</v>
      </c>
      <c r="E62" s="11">
        <f t="shared" ref="E62" si="68">IF(D62&gt;C62,D62-C62,C62-D62)</f>
        <v>0.1875</v>
      </c>
      <c r="F62" s="11">
        <v>0.52083333333333304</v>
      </c>
      <c r="G62" s="25">
        <v>0.66666666666666696</v>
      </c>
      <c r="H62" s="11">
        <f t="shared" si="65"/>
        <v>0.14583333333333301</v>
      </c>
      <c r="I62" s="17"/>
      <c r="J62" s="17"/>
      <c r="K62" s="11">
        <f t="shared" si="66"/>
        <v>0</v>
      </c>
      <c r="L62" s="11">
        <f t="shared" ref="L62" si="69">E62+H62+K62</f>
        <v>0.33333333333333298</v>
      </c>
    </row>
    <row r="63" spans="1:17">
      <c r="E63" s="15">
        <f>SUM(E58:E62)</f>
        <v>1</v>
      </c>
      <c r="H63" s="15">
        <f>SUM(H58:H62)</f>
        <v>0.64583333333333304</v>
      </c>
      <c r="K63" s="15">
        <f>SUM(K58:K62)</f>
        <v>0</v>
      </c>
      <c r="L63" s="15">
        <f>SUM(L58:L62)</f>
        <v>1.645833333333333</v>
      </c>
    </row>
    <row r="65" spans="1:13">
      <c r="C65" s="2" t="s">
        <v>237</v>
      </c>
      <c r="G65" s="5" t="s">
        <v>38</v>
      </c>
      <c r="H65" s="6">
        <f>+H55+1</f>
        <v>46250</v>
      </c>
    </row>
    <row r="66" spans="1:13">
      <c r="C66" s="168" t="s">
        <v>3</v>
      </c>
      <c r="D66" s="168"/>
      <c r="E66" s="168"/>
      <c r="F66" s="169" t="s">
        <v>4</v>
      </c>
      <c r="G66" s="169"/>
      <c r="H66" s="169"/>
      <c r="I66" s="170" t="s">
        <v>5</v>
      </c>
      <c r="J66" s="170"/>
      <c r="K66" s="170"/>
    </row>
    <row r="67" spans="1:13">
      <c r="B67" s="7" t="s">
        <v>6</v>
      </c>
      <c r="C67" s="8" t="s">
        <v>7</v>
      </c>
      <c r="D67" s="8" t="s">
        <v>8</v>
      </c>
      <c r="E67" s="8" t="s">
        <v>9</v>
      </c>
      <c r="F67" s="9" t="s">
        <v>7</v>
      </c>
      <c r="G67" s="9" t="s">
        <v>8</v>
      </c>
      <c r="H67" s="9" t="s">
        <v>9</v>
      </c>
      <c r="I67" s="16" t="s">
        <v>7</v>
      </c>
      <c r="J67" s="16" t="s">
        <v>8</v>
      </c>
      <c r="K67" s="16" t="s">
        <v>9</v>
      </c>
      <c r="L67" s="7" t="s">
        <v>10</v>
      </c>
    </row>
    <row r="68" spans="1:13">
      <c r="A68" t="s">
        <v>238</v>
      </c>
      <c r="B68" s="10" t="s">
        <v>239</v>
      </c>
      <c r="C68" s="25">
        <v>0.3125</v>
      </c>
      <c r="D68" s="11">
        <v>0.5</v>
      </c>
      <c r="E68" s="11">
        <f t="shared" ref="E68:E69" si="70">IF(D68&gt;C68,D68-C68,C68-D68)</f>
        <v>0.1875</v>
      </c>
      <c r="F68" s="11">
        <v>0.52083333333333304</v>
      </c>
      <c r="G68" s="25">
        <v>0.58333333333333304</v>
      </c>
      <c r="H68" s="11">
        <f t="shared" ref="H68:H69" si="71">IF(G68&gt;F68,G68-F68,F68-G68)</f>
        <v>6.25E-2</v>
      </c>
      <c r="I68" s="17"/>
      <c r="J68" s="17"/>
      <c r="K68" s="11">
        <f t="shared" ref="K68:K69" si="72">IF(J68&gt;I68,J68-I68,I68-J68)</f>
        <v>0</v>
      </c>
      <c r="L68" s="11">
        <f t="shared" ref="L68:L69" si="73">E68+H68+K68</f>
        <v>0.25</v>
      </c>
    </row>
    <row r="69" spans="1:13">
      <c r="A69" t="s">
        <v>240</v>
      </c>
      <c r="B69" s="10" t="s">
        <v>241</v>
      </c>
      <c r="C69" s="19"/>
      <c r="D69" s="19"/>
      <c r="E69" s="19">
        <f t="shared" si="70"/>
        <v>0</v>
      </c>
      <c r="F69" s="19"/>
      <c r="G69" s="19"/>
      <c r="H69" s="19">
        <f t="shared" si="71"/>
        <v>0</v>
      </c>
      <c r="I69" s="22"/>
      <c r="J69" s="22"/>
      <c r="K69" s="19">
        <f t="shared" si="72"/>
        <v>0</v>
      </c>
      <c r="L69" s="11">
        <f t="shared" si="73"/>
        <v>0</v>
      </c>
      <c r="M69" t="s">
        <v>25</v>
      </c>
    </row>
    <row r="70" spans="1:13">
      <c r="A70" t="s">
        <v>242</v>
      </c>
      <c r="B70" s="10" t="s">
        <v>243</v>
      </c>
      <c r="C70" s="25">
        <v>0.3125</v>
      </c>
      <c r="D70" s="11">
        <v>0.5</v>
      </c>
      <c r="E70" s="11">
        <f t="shared" ref="E70" si="74">IF(D70&gt;C70,D70-C70,C70-D70)</f>
        <v>0.1875</v>
      </c>
      <c r="F70" s="11">
        <v>0.52083333333333304</v>
      </c>
      <c r="G70" s="25">
        <v>0.58333333333333304</v>
      </c>
      <c r="H70" s="11">
        <f t="shared" ref="H70" si="75">IF(G70&gt;F70,G70-F70,F70-G70)</f>
        <v>6.25E-2</v>
      </c>
      <c r="I70" s="17"/>
      <c r="J70" s="17"/>
      <c r="K70" s="11">
        <f t="shared" ref="K70" si="76">IF(J70&gt;I70,J70-I70,I70-J70)</f>
        <v>0</v>
      </c>
      <c r="L70" s="11">
        <f t="shared" ref="L70" si="77">E70+H70+K70</f>
        <v>0.25</v>
      </c>
    </row>
    <row r="71" spans="1:13">
      <c r="A71" t="s">
        <v>226</v>
      </c>
      <c r="B71" s="10" t="s">
        <v>244</v>
      </c>
      <c r="C71" s="25">
        <v>0.3125</v>
      </c>
      <c r="D71" s="11">
        <v>0.5</v>
      </c>
      <c r="E71" s="11">
        <f t="shared" ref="E71" si="78">IF(D71&gt;C71,D71-C71,C71-D71)</f>
        <v>0.1875</v>
      </c>
      <c r="F71" s="11">
        <v>0.52083333333333304</v>
      </c>
      <c r="G71" s="25">
        <v>0.58333333333333304</v>
      </c>
      <c r="H71" s="11">
        <f t="shared" ref="H71" si="79">IF(G71&gt;F71,G71-F71,F71-G71)</f>
        <v>6.25E-2</v>
      </c>
      <c r="I71" s="17"/>
      <c r="J71" s="17"/>
      <c r="K71" s="11">
        <f t="shared" ref="K71" si="80">IF(J71&gt;I71,J71-I71,I71-J71)</f>
        <v>0</v>
      </c>
      <c r="L71" s="11">
        <f t="shared" ref="L71" si="81">E71+H71+K71</f>
        <v>0.25</v>
      </c>
    </row>
    <row r="72" spans="1:13">
      <c r="B72" s="13" t="s">
        <v>245</v>
      </c>
      <c r="C72" s="25">
        <v>0.3125</v>
      </c>
      <c r="D72" s="11">
        <v>0.5</v>
      </c>
      <c r="E72" s="11">
        <f t="shared" ref="E72" si="82">IF(D72&gt;C72,D72-C72,C72-D72)</f>
        <v>0.1875</v>
      </c>
      <c r="F72" s="11">
        <v>0.52083333333333304</v>
      </c>
      <c r="G72" s="25">
        <v>0.58333333333333304</v>
      </c>
      <c r="H72" s="11">
        <f t="shared" ref="H72" si="83">IF(G72&gt;F72,G72-F72,F72-G72)</f>
        <v>6.25E-2</v>
      </c>
      <c r="I72" s="17"/>
      <c r="J72" s="17"/>
      <c r="K72" s="11">
        <f t="shared" ref="K72" si="84">IF(J72&gt;I72,J72-I72,I72-J72)</f>
        <v>0</v>
      </c>
      <c r="L72" s="11">
        <f t="shared" ref="L72" si="85">E72+H72+K72</f>
        <v>0.25</v>
      </c>
    </row>
    <row r="73" spans="1:13">
      <c r="E73" s="15">
        <f>SUM(E68:E72)</f>
        <v>0.75</v>
      </c>
      <c r="H73" s="15">
        <f>SUM(H68:H72)</f>
        <v>0.25</v>
      </c>
      <c r="K73" s="15">
        <f>SUM(K68:K72)</f>
        <v>0</v>
      </c>
      <c r="L73" s="15">
        <f>SUM(L68:L72)</f>
        <v>1</v>
      </c>
    </row>
    <row r="76" spans="1:13">
      <c r="B76" t="s">
        <v>238</v>
      </c>
      <c r="C76" s="10" t="s">
        <v>239</v>
      </c>
      <c r="D76" s="21">
        <f>+L8+L18+L28+L38+L48+L58+L68</f>
        <v>1.875</v>
      </c>
    </row>
    <row r="77" spans="1:13">
      <c r="B77" t="s">
        <v>240</v>
      </c>
      <c r="C77" s="10" t="s">
        <v>241</v>
      </c>
      <c r="D77" s="21">
        <f>+L9+L19+L29+L39+L49+L59+L69</f>
        <v>2</v>
      </c>
    </row>
    <row r="78" spans="1:13">
      <c r="B78" t="s">
        <v>78</v>
      </c>
      <c r="C78" s="10" t="s">
        <v>243</v>
      </c>
      <c r="D78" s="21">
        <f>+L10+L20+L30+L40+L50+L60+L70</f>
        <v>1.9791666666666659</v>
      </c>
    </row>
    <row r="79" spans="1:13">
      <c r="B79" t="s">
        <v>226</v>
      </c>
      <c r="C79" s="10" t="s">
        <v>244</v>
      </c>
      <c r="D79" s="21">
        <f>+L11+L21+L31+L41+L51+L61+L71</f>
        <v>1.979166666666667</v>
      </c>
    </row>
    <row r="80" spans="1:13">
      <c r="B80" t="s">
        <v>246</v>
      </c>
      <c r="C80" s="10" t="s">
        <v>230</v>
      </c>
      <c r="D80" s="21" t="e">
        <f>+#REF!+#REF!+#REF!+#REF!+#REF!+#REF!+#REF!</f>
        <v>#REF!</v>
      </c>
    </row>
    <row r="81" spans="3:4">
      <c r="C81" s="13" t="s">
        <v>245</v>
      </c>
      <c r="D81" s="21">
        <f>+L12+L22+L32+L42+L52+L62+L72</f>
        <v>1.8958333333333299</v>
      </c>
    </row>
  </sheetData>
  <mergeCells count="22">
    <mergeCell ref="C6:E6"/>
    <mergeCell ref="F6:H6"/>
    <mergeCell ref="I6:K6"/>
    <mergeCell ref="C16:E16"/>
    <mergeCell ref="F16:H16"/>
    <mergeCell ref="I16:K16"/>
    <mergeCell ref="C66:E66"/>
    <mergeCell ref="F66:H66"/>
    <mergeCell ref="I66:K66"/>
    <mergeCell ref="E2:I3"/>
    <mergeCell ref="C46:E46"/>
    <mergeCell ref="F46:H46"/>
    <mergeCell ref="I46:K46"/>
    <mergeCell ref="C56:E56"/>
    <mergeCell ref="F56:H56"/>
    <mergeCell ref="I56:K56"/>
    <mergeCell ref="C26:E26"/>
    <mergeCell ref="F26:H26"/>
    <mergeCell ref="I26:K26"/>
    <mergeCell ref="C36:E36"/>
    <mergeCell ref="F36:H36"/>
    <mergeCell ref="I36:K36"/>
  </mergeCells>
  <pageMargins left="0.31496062992126" right="0.31496062992126" top="0.15748031496063" bottom="7.8740157480315001E-2" header="0" footer="0"/>
  <pageSetup paperSize="9" scale="65" fitToHeight="0" orientation="portrait" verticalDpi="12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2:M53"/>
  <sheetViews>
    <sheetView topLeftCell="A37" workbookViewId="0">
      <selection activeCell="E2" sqref="E2:I3"/>
    </sheetView>
  </sheetViews>
  <sheetFormatPr defaultColWidth="11" defaultRowHeight="15"/>
  <sheetData>
    <row r="2" spans="1:12">
      <c r="E2" s="171" t="s">
        <v>331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247</v>
      </c>
      <c r="G5" s="5" t="s">
        <v>39</v>
      </c>
      <c r="H5" s="6">
        <f>+LESSIVEUSE!H5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t="s">
        <v>248</v>
      </c>
      <c r="B8" s="10" t="s">
        <v>249</v>
      </c>
      <c r="C8" s="176" t="s">
        <v>250</v>
      </c>
      <c r="D8" s="176"/>
      <c r="E8" s="176"/>
      <c r="F8" s="176"/>
      <c r="G8" s="176"/>
      <c r="H8" s="176"/>
      <c r="I8" s="176"/>
      <c r="J8" s="176"/>
      <c r="K8" s="44">
        <f>IF(J8&gt;I8,J8-I8,I8-J8)</f>
        <v>0</v>
      </c>
      <c r="L8" s="11">
        <f>E8+H8+K8</f>
        <v>0</v>
      </c>
    </row>
    <row r="9" spans="1:12">
      <c r="A9" t="s">
        <v>228</v>
      </c>
      <c r="B9" s="13" t="s">
        <v>251</v>
      </c>
      <c r="C9" s="25">
        <v>0.25</v>
      </c>
      <c r="D9" s="11">
        <v>0.5</v>
      </c>
      <c r="E9" s="11">
        <f t="shared" ref="E9" si="0">IF(D9&gt;C9,D9-C9,C9-D9)</f>
        <v>0.25</v>
      </c>
      <c r="F9" s="11">
        <v>0.54166666666666696</v>
      </c>
      <c r="G9" s="25">
        <v>0.625</v>
      </c>
      <c r="H9" s="11">
        <f>IF(G9&gt;F9,G9-F9,F9-G9)</f>
        <v>8.3333333333333398E-2</v>
      </c>
      <c r="I9" s="21"/>
      <c r="J9" s="21"/>
      <c r="K9" s="11">
        <f>IF(J9&gt;I9,J9-I9,I9-J9)</f>
        <v>0</v>
      </c>
      <c r="L9" s="11">
        <f>E9+H9+K9</f>
        <v>0.33333333333333298</v>
      </c>
    </row>
    <row r="10" spans="1:12" s="32" customFormat="1">
      <c r="E10" s="42">
        <f>SUM(E8:E9)</f>
        <v>0.25</v>
      </c>
      <c r="H10" s="42">
        <f>SUM(H8:H9)</f>
        <v>8.3333333333333398E-2</v>
      </c>
      <c r="K10" s="42">
        <f t="shared" ref="K10:L10" si="1">SUM(K8:K9)</f>
        <v>0</v>
      </c>
      <c r="L10" s="15">
        <f t="shared" si="1"/>
        <v>0.33333333333333298</v>
      </c>
    </row>
    <row r="12" spans="1:12">
      <c r="C12" s="2" t="s">
        <v>247</v>
      </c>
      <c r="G12" s="5" t="s">
        <v>32</v>
      </c>
      <c r="H12" s="6">
        <f>+H5+1</f>
        <v>46245</v>
      </c>
    </row>
    <row r="13" spans="1:12">
      <c r="C13" s="168" t="s">
        <v>3</v>
      </c>
      <c r="D13" s="168"/>
      <c r="E13" s="168"/>
      <c r="F13" s="169" t="s">
        <v>4</v>
      </c>
      <c r="G13" s="169"/>
      <c r="H13" s="169"/>
      <c r="I13" s="170" t="s">
        <v>5</v>
      </c>
      <c r="J13" s="170"/>
      <c r="K13" s="170"/>
    </row>
    <row r="14" spans="1:12">
      <c r="B14" s="7" t="s">
        <v>6</v>
      </c>
      <c r="C14" s="8" t="s">
        <v>7</v>
      </c>
      <c r="D14" s="8" t="s">
        <v>8</v>
      </c>
      <c r="E14" s="8" t="s">
        <v>9</v>
      </c>
      <c r="F14" s="9" t="s">
        <v>7</v>
      </c>
      <c r="G14" s="9" t="s">
        <v>8</v>
      </c>
      <c r="H14" s="9" t="s">
        <v>9</v>
      </c>
      <c r="I14" s="16" t="s">
        <v>7</v>
      </c>
      <c r="J14" s="16" t="s">
        <v>8</v>
      </c>
      <c r="K14" s="16" t="s">
        <v>9</v>
      </c>
      <c r="L14" s="7" t="s">
        <v>10</v>
      </c>
    </row>
    <row r="15" spans="1:12">
      <c r="A15" t="s">
        <v>248</v>
      </c>
      <c r="B15" s="10" t="s">
        <v>249</v>
      </c>
      <c r="C15" s="176" t="s">
        <v>250</v>
      </c>
      <c r="D15" s="176"/>
      <c r="E15" s="176"/>
      <c r="F15" s="176"/>
      <c r="G15" s="176"/>
      <c r="H15" s="176"/>
      <c r="I15" s="176"/>
      <c r="J15" s="176"/>
      <c r="K15" s="44">
        <f>IF(J15&gt;I15,J15-I15,I15-J15)</f>
        <v>0</v>
      </c>
      <c r="L15" s="11">
        <f>E15+H15+K15</f>
        <v>0</v>
      </c>
    </row>
    <row r="16" spans="1:12">
      <c r="A16" t="s">
        <v>228</v>
      </c>
      <c r="B16" s="13" t="s">
        <v>251</v>
      </c>
      <c r="C16" s="25">
        <v>0.25</v>
      </c>
      <c r="D16" s="11">
        <v>0.5</v>
      </c>
      <c r="E16" s="11">
        <f t="shared" ref="E16" si="2">IF(D16&gt;C16,D16-C16,C16-D16)</f>
        <v>0.25</v>
      </c>
      <c r="F16" s="11">
        <v>0.54166666666666696</v>
      </c>
      <c r="G16" s="25">
        <v>0.625</v>
      </c>
      <c r="H16" s="11">
        <f>IF(G16&gt;F16,G16-F16,F16-G16)</f>
        <v>8.3333333333333398E-2</v>
      </c>
      <c r="I16" s="21"/>
      <c r="J16" s="21"/>
      <c r="K16" s="11">
        <f>IF(J16&gt;I16,J16-I16,I16-J16)</f>
        <v>0</v>
      </c>
      <c r="L16" s="11">
        <f>E16+H16+K16</f>
        <v>0.33333333333333298</v>
      </c>
    </row>
    <row r="17" spans="1:12" s="32" customFormat="1">
      <c r="E17" s="42">
        <f>SUM(E15:E16)</f>
        <v>0.25</v>
      </c>
      <c r="H17" s="42">
        <f>SUM(H15:H16)</f>
        <v>8.3333333333333398E-2</v>
      </c>
      <c r="K17" s="42">
        <f t="shared" ref="K17" si="3">SUM(K15:K16)</f>
        <v>0</v>
      </c>
      <c r="L17" s="15">
        <f t="shared" ref="L17" si="4">SUM(L15:L16)</f>
        <v>0.33333333333333298</v>
      </c>
    </row>
    <row r="19" spans="1:12">
      <c r="C19" s="2" t="s">
        <v>247</v>
      </c>
      <c r="G19" s="5" t="s">
        <v>34</v>
      </c>
      <c r="H19" s="6">
        <f>+H12+1</f>
        <v>46246</v>
      </c>
    </row>
    <row r="20" spans="1:12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2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2">
      <c r="A22" t="s">
        <v>248</v>
      </c>
      <c r="B22" s="10" t="s">
        <v>249</v>
      </c>
      <c r="C22" s="176" t="s">
        <v>250</v>
      </c>
      <c r="D22" s="176"/>
      <c r="E22" s="176"/>
      <c r="F22" s="176"/>
      <c r="G22" s="176"/>
      <c r="H22" s="176"/>
      <c r="I22" s="176"/>
      <c r="J22" s="176"/>
      <c r="K22" s="44">
        <f>IF(J22&gt;I22,J22-I22,I22-J22)</f>
        <v>0</v>
      </c>
      <c r="L22" s="11">
        <f>E22+H22+K22</f>
        <v>0</v>
      </c>
    </row>
    <row r="23" spans="1:12">
      <c r="A23" t="s">
        <v>228</v>
      </c>
      <c r="B23" s="13" t="s">
        <v>251</v>
      </c>
      <c r="C23" s="25">
        <v>0.25</v>
      </c>
      <c r="D23" s="11">
        <v>0.5</v>
      </c>
      <c r="E23" s="11">
        <f t="shared" ref="E23" si="5">IF(D23&gt;C23,D23-C23,C23-D23)</f>
        <v>0.25</v>
      </c>
      <c r="F23" s="11">
        <v>0.54166666666666696</v>
      </c>
      <c r="G23" s="25">
        <v>0.625</v>
      </c>
      <c r="H23" s="11">
        <f>IF(G23&gt;F23,G23-F23,F23-G23)</f>
        <v>8.3333333333333398E-2</v>
      </c>
      <c r="I23" s="21"/>
      <c r="J23" s="21"/>
      <c r="K23" s="11">
        <f>IF(J23&gt;I23,J23-I23,I23-J23)</f>
        <v>0</v>
      </c>
      <c r="L23" s="11">
        <f>E23+H23+K23</f>
        <v>0.33333333333333298</v>
      </c>
    </row>
    <row r="24" spans="1:12" s="32" customFormat="1">
      <c r="E24" s="42">
        <f>SUM(E22:E23)</f>
        <v>0.25</v>
      </c>
      <c r="H24" s="42">
        <f>SUM(H22:H23)</f>
        <v>8.3333333333333398E-2</v>
      </c>
      <c r="K24" s="42">
        <f t="shared" ref="K24" si="6">SUM(K22:K23)</f>
        <v>0</v>
      </c>
      <c r="L24" s="15">
        <f t="shared" ref="L24" si="7">SUM(L22:L23)</f>
        <v>0.33333333333333298</v>
      </c>
    </row>
    <row r="26" spans="1:12">
      <c r="C26" s="2" t="s">
        <v>247</v>
      </c>
      <c r="G26" s="5" t="s">
        <v>35</v>
      </c>
      <c r="H26" s="6">
        <f>+H19+1</f>
        <v>46247</v>
      </c>
    </row>
    <row r="27" spans="1:12">
      <c r="C27" s="168" t="s">
        <v>3</v>
      </c>
      <c r="D27" s="168"/>
      <c r="E27" s="168"/>
      <c r="F27" s="169" t="s">
        <v>4</v>
      </c>
      <c r="G27" s="169"/>
      <c r="H27" s="169"/>
      <c r="I27" s="170" t="s">
        <v>5</v>
      </c>
      <c r="J27" s="170"/>
      <c r="K27" s="170"/>
    </row>
    <row r="28" spans="1:12">
      <c r="B28" s="7" t="s">
        <v>6</v>
      </c>
      <c r="C28" s="8" t="s">
        <v>7</v>
      </c>
      <c r="D28" s="8" t="s">
        <v>8</v>
      </c>
      <c r="E28" s="8" t="s">
        <v>9</v>
      </c>
      <c r="F28" s="9" t="s">
        <v>7</v>
      </c>
      <c r="G28" s="9" t="s">
        <v>8</v>
      </c>
      <c r="H28" s="9" t="s">
        <v>9</v>
      </c>
      <c r="I28" s="16" t="s">
        <v>7</v>
      </c>
      <c r="J28" s="16" t="s">
        <v>8</v>
      </c>
      <c r="K28" s="16" t="s">
        <v>9</v>
      </c>
      <c r="L28" s="7" t="s">
        <v>10</v>
      </c>
    </row>
    <row r="29" spans="1:12">
      <c r="A29" t="s">
        <v>248</v>
      </c>
      <c r="B29" s="10" t="s">
        <v>249</v>
      </c>
      <c r="C29" s="176" t="s">
        <v>250</v>
      </c>
      <c r="D29" s="176"/>
      <c r="E29" s="176"/>
      <c r="F29" s="176"/>
      <c r="G29" s="176"/>
      <c r="H29" s="176"/>
      <c r="I29" s="176"/>
      <c r="J29" s="176"/>
      <c r="K29" s="44">
        <f>IF(J29&gt;I29,J29-I29,I29-J29)</f>
        <v>0</v>
      </c>
      <c r="L29" s="11">
        <f>E29+H29+K29</f>
        <v>0</v>
      </c>
    </row>
    <row r="30" spans="1:12">
      <c r="A30" t="s">
        <v>228</v>
      </c>
      <c r="B30" s="13" t="s">
        <v>251</v>
      </c>
      <c r="C30" s="25">
        <v>0.25</v>
      </c>
      <c r="D30" s="11">
        <v>0.5</v>
      </c>
      <c r="E30" s="11">
        <f t="shared" ref="E30" si="8">IF(D30&gt;C30,D30-C30,C30-D30)</f>
        <v>0.25</v>
      </c>
      <c r="F30" s="11">
        <v>0.54166666666666696</v>
      </c>
      <c r="G30" s="25">
        <v>0.625</v>
      </c>
      <c r="H30" s="11">
        <f>IF(G30&gt;F30,G30-F30,F30-G30)</f>
        <v>8.3333333333333398E-2</v>
      </c>
      <c r="I30" s="21"/>
      <c r="J30" s="21"/>
      <c r="K30" s="11">
        <f>IF(J30&gt;I30,J30-I30,I30-J30)</f>
        <v>0</v>
      </c>
      <c r="L30" s="11">
        <f>E30+H30+K30</f>
        <v>0.33333333333333298</v>
      </c>
    </row>
    <row r="31" spans="1:12" s="32" customFormat="1">
      <c r="E31" s="42">
        <f>SUM(E29:E30)</f>
        <v>0.25</v>
      </c>
      <c r="H31" s="42">
        <f>SUM(H29:H30)</f>
        <v>8.3333333333333398E-2</v>
      </c>
      <c r="K31" s="42">
        <f t="shared" ref="K31" si="9">SUM(K29:K30)</f>
        <v>0</v>
      </c>
      <c r="L31" s="15">
        <f t="shared" ref="L31" si="10">SUM(L29:L30)</f>
        <v>0.33333333333333298</v>
      </c>
    </row>
    <row r="33" spans="1:13">
      <c r="C33" s="2" t="s">
        <v>247</v>
      </c>
      <c r="G33" s="5" t="s">
        <v>36</v>
      </c>
      <c r="H33" s="6">
        <f>+H26+1</f>
        <v>46248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</row>
    <row r="36" spans="1:13">
      <c r="A36" t="s">
        <v>248</v>
      </c>
      <c r="B36" s="10" t="s">
        <v>249</v>
      </c>
      <c r="C36" s="176" t="s">
        <v>250</v>
      </c>
      <c r="D36" s="176"/>
      <c r="E36" s="176"/>
      <c r="F36" s="176"/>
      <c r="G36" s="176"/>
      <c r="H36" s="176"/>
      <c r="I36" s="176"/>
      <c r="J36" s="176"/>
      <c r="K36" s="44">
        <f>IF(J36&gt;I36,J36-I36,I36-J36)</f>
        <v>0</v>
      </c>
      <c r="L36" s="11">
        <f>E36+H36+K36</f>
        <v>0</v>
      </c>
    </row>
    <row r="37" spans="1:13">
      <c r="A37" t="s">
        <v>228</v>
      </c>
      <c r="B37" s="13" t="s">
        <v>251</v>
      </c>
      <c r="C37" s="25">
        <v>0.25</v>
      </c>
      <c r="D37" s="11">
        <v>0.5</v>
      </c>
      <c r="E37" s="11">
        <f t="shared" ref="E37" si="11">IF(D37&gt;C37,D37-C37,C37-D37)</f>
        <v>0.25</v>
      </c>
      <c r="F37" s="11">
        <v>0.54166666666666696</v>
      </c>
      <c r="G37" s="25">
        <v>0.625</v>
      </c>
      <c r="H37" s="11">
        <f>IF(G37&gt;F37,G37-F37,F37-G37)</f>
        <v>8.3333333333333398E-2</v>
      </c>
      <c r="I37" s="21"/>
      <c r="J37" s="21"/>
      <c r="K37" s="11">
        <f>IF(J37&gt;I37,J37-I37,I37-J37)</f>
        <v>0</v>
      </c>
      <c r="L37" s="11">
        <f>E37+H37+K37</f>
        <v>0.33333333333333298</v>
      </c>
    </row>
    <row r="38" spans="1:13" s="32" customFormat="1">
      <c r="E38" s="42">
        <f>SUM(E36:E37)</f>
        <v>0.25</v>
      </c>
      <c r="H38" s="42">
        <f>SUM(H36:H37)</f>
        <v>8.3333333333333398E-2</v>
      </c>
      <c r="K38" s="42">
        <f t="shared" ref="K38" si="12">SUM(K36:K37)</f>
        <v>0</v>
      </c>
      <c r="L38" s="15">
        <f t="shared" ref="L38" si="13">SUM(L36:L37)</f>
        <v>0.33333333333333298</v>
      </c>
    </row>
    <row r="39" spans="1:13">
      <c r="C39" s="2" t="s">
        <v>247</v>
      </c>
      <c r="G39" s="5" t="s">
        <v>37</v>
      </c>
      <c r="H39" s="6">
        <f>+H33+1</f>
        <v>46249</v>
      </c>
    </row>
    <row r="40" spans="1:13">
      <c r="C40" s="168" t="s">
        <v>3</v>
      </c>
      <c r="D40" s="168"/>
      <c r="E40" s="168"/>
      <c r="F40" s="169" t="s">
        <v>4</v>
      </c>
      <c r="G40" s="169"/>
      <c r="H40" s="169"/>
      <c r="I40" s="170" t="s">
        <v>5</v>
      </c>
      <c r="J40" s="170"/>
      <c r="K40" s="170"/>
    </row>
    <row r="41" spans="1:13">
      <c r="B41" s="7" t="s">
        <v>6</v>
      </c>
      <c r="C41" s="8" t="s">
        <v>7</v>
      </c>
      <c r="D41" s="8" t="s">
        <v>8</v>
      </c>
      <c r="E41" s="8" t="s">
        <v>9</v>
      </c>
      <c r="F41" s="9" t="s">
        <v>7</v>
      </c>
      <c r="G41" s="9" t="s">
        <v>8</v>
      </c>
      <c r="H41" s="9" t="s">
        <v>9</v>
      </c>
      <c r="I41" s="16" t="s">
        <v>7</v>
      </c>
      <c r="J41" s="16" t="s">
        <v>8</v>
      </c>
      <c r="K41" s="16" t="s">
        <v>9</v>
      </c>
      <c r="L41" s="7" t="s">
        <v>10</v>
      </c>
    </row>
    <row r="42" spans="1:13">
      <c r="A42" t="s">
        <v>248</v>
      </c>
      <c r="B42" s="10" t="s">
        <v>249</v>
      </c>
      <c r="C42" s="176" t="s">
        <v>250</v>
      </c>
      <c r="D42" s="176"/>
      <c r="E42" s="176"/>
      <c r="F42" s="176"/>
      <c r="G42" s="176"/>
      <c r="H42" s="176"/>
      <c r="I42" s="176"/>
      <c r="J42" s="176"/>
      <c r="K42" s="11">
        <f>IF(J42&gt;I42,J42-I42,I42-J42)</f>
        <v>0</v>
      </c>
      <c r="L42" s="11">
        <f>E42+H42+K42</f>
        <v>0</v>
      </c>
    </row>
    <row r="43" spans="1:13">
      <c r="A43" t="s">
        <v>228</v>
      </c>
      <c r="B43" s="13" t="s">
        <v>251</v>
      </c>
      <c r="C43" s="25">
        <v>0.25</v>
      </c>
      <c r="D43" s="11">
        <v>0.5</v>
      </c>
      <c r="E43" s="11">
        <f t="shared" ref="E43" si="14">IF(D43&gt;C43,D43-C43,C43-D43)</f>
        <v>0.25</v>
      </c>
      <c r="F43" s="11">
        <v>0.54166666666666696</v>
      </c>
      <c r="G43" s="25">
        <v>0.625</v>
      </c>
      <c r="H43" s="11">
        <f>IF(G43&gt;F43,G43-F43,F43-G43)</f>
        <v>8.3333333333333398E-2</v>
      </c>
      <c r="I43" s="17"/>
      <c r="J43" s="17"/>
      <c r="K43" s="11">
        <f>IF(J43&gt;I43,J43-I43,I43-J43)</f>
        <v>0</v>
      </c>
      <c r="L43" s="11">
        <f>E43+H43+K43</f>
        <v>0.33333333333333298</v>
      </c>
    </row>
    <row r="44" spans="1:13" s="32" customFormat="1">
      <c r="E44" s="42">
        <f>SUM(E42:E43)</f>
        <v>0.25</v>
      </c>
      <c r="H44" s="42">
        <f>SUM(H42:H43)</f>
        <v>8.3333333333333398E-2</v>
      </c>
      <c r="K44" s="42">
        <f t="shared" ref="K44" si="15">SUM(K42:K43)</f>
        <v>0</v>
      </c>
      <c r="L44" s="15">
        <f t="shared" ref="L44" si="16">SUM(L42:L43)</f>
        <v>0.33333333333333298</v>
      </c>
    </row>
    <row r="45" spans="1:13">
      <c r="C45" s="2" t="s">
        <v>247</v>
      </c>
      <c r="G45" s="5" t="s">
        <v>38</v>
      </c>
      <c r="H45" s="6">
        <f>+H39+1</f>
        <v>46250</v>
      </c>
    </row>
    <row r="46" spans="1:13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3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3">
      <c r="A48" t="s">
        <v>248</v>
      </c>
      <c r="B48" s="10" t="s">
        <v>249</v>
      </c>
      <c r="C48" s="176" t="s">
        <v>250</v>
      </c>
      <c r="D48" s="176"/>
      <c r="E48" s="176"/>
      <c r="F48" s="176"/>
      <c r="G48" s="176"/>
      <c r="H48" s="176"/>
      <c r="I48" s="176"/>
      <c r="J48" s="176"/>
      <c r="K48" s="44">
        <f t="shared" ref="K48:K49" si="17">IF(J48&gt;I48,J48-I48,I48-J48)</f>
        <v>0</v>
      </c>
      <c r="L48" s="42">
        <f t="shared" ref="L48:L49" si="18">E48+H48+K48</f>
        <v>0</v>
      </c>
      <c r="M48" s="32" t="s">
        <v>25</v>
      </c>
    </row>
    <row r="49" spans="1:12">
      <c r="A49" t="s">
        <v>228</v>
      </c>
      <c r="B49" s="13" t="s">
        <v>251</v>
      </c>
      <c r="C49" s="25">
        <v>0.25</v>
      </c>
      <c r="D49" s="11">
        <v>0.375</v>
      </c>
      <c r="E49" s="11">
        <f t="shared" ref="E49" si="19">IF(D49&gt;C49,D49-C49,C49-D49)</f>
        <v>0.125</v>
      </c>
      <c r="F49" s="11"/>
      <c r="G49" s="25"/>
      <c r="H49" s="11">
        <f>IF(G49&gt;F49,G49-F49,F49-G49)</f>
        <v>0</v>
      </c>
      <c r="I49" s="17"/>
      <c r="J49" s="17"/>
      <c r="K49" s="11">
        <f t="shared" si="17"/>
        <v>0</v>
      </c>
      <c r="L49" s="11">
        <f t="shared" si="18"/>
        <v>0.125</v>
      </c>
    </row>
    <row r="50" spans="1:12" s="32" customFormat="1">
      <c r="E50" s="42">
        <f>SUM(E48:E49)</f>
        <v>0.125</v>
      </c>
      <c r="H50" s="42">
        <f>SUM(H48:H49)</f>
        <v>0</v>
      </c>
      <c r="K50" s="42">
        <f t="shared" ref="K50" si="20">SUM(K48:K49)</f>
        <v>0</v>
      </c>
      <c r="L50" s="15">
        <f t="shared" ref="L50" si="21">SUM(L48:L49)</f>
        <v>0.125</v>
      </c>
    </row>
    <row r="52" spans="1:12">
      <c r="A52" t="s">
        <v>248</v>
      </c>
      <c r="B52" s="10" t="s">
        <v>249</v>
      </c>
      <c r="C52" s="21">
        <f>+L8+L15+L22+L29+L36+L42+L48</f>
        <v>0</v>
      </c>
    </row>
    <row r="53" spans="1:12">
      <c r="A53" t="s">
        <v>228</v>
      </c>
      <c r="B53" s="13" t="s">
        <v>251</v>
      </c>
      <c r="C53" s="21">
        <f>+L9+L16+L23+L30+L37+L43+L49</f>
        <v>2.125</v>
      </c>
    </row>
  </sheetData>
  <mergeCells count="29">
    <mergeCell ref="C6:E6"/>
    <mergeCell ref="F6:H6"/>
    <mergeCell ref="I6:K6"/>
    <mergeCell ref="C8:J8"/>
    <mergeCell ref="C13:E13"/>
    <mergeCell ref="F13:H13"/>
    <mergeCell ref="I13:K13"/>
    <mergeCell ref="I34:K34"/>
    <mergeCell ref="C15:J15"/>
    <mergeCell ref="C20:E20"/>
    <mergeCell ref="F20:H20"/>
    <mergeCell ref="I20:K20"/>
    <mergeCell ref="C22:J22"/>
    <mergeCell ref="C46:E46"/>
    <mergeCell ref="F46:H46"/>
    <mergeCell ref="I46:K46"/>
    <mergeCell ref="C48:J48"/>
    <mergeCell ref="E2:I3"/>
    <mergeCell ref="C36:J36"/>
    <mergeCell ref="C40:E40"/>
    <mergeCell ref="F40:H40"/>
    <mergeCell ref="I40:K40"/>
    <mergeCell ref="C42:J42"/>
    <mergeCell ref="C27:E27"/>
    <mergeCell ref="F27:H27"/>
    <mergeCell ref="I27:K27"/>
    <mergeCell ref="C29:J29"/>
    <mergeCell ref="C34:E34"/>
    <mergeCell ref="F34:H34"/>
  </mergeCells>
  <pageMargins left="0.7" right="0.7" top="0.75" bottom="0.28999999999999998" header="0.3" footer="0.3"/>
  <pageSetup paperSize="9" fitToHeight="0" orientation="landscape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2:M72"/>
  <sheetViews>
    <sheetView tabSelected="1" workbookViewId="0">
      <selection activeCell="L8" sqref="L8"/>
    </sheetView>
  </sheetViews>
  <sheetFormatPr defaultColWidth="11" defaultRowHeight="15"/>
  <sheetData>
    <row r="2" spans="1:13">
      <c r="E2" s="171" t="s">
        <v>330</v>
      </c>
      <c r="F2" s="171"/>
      <c r="G2" s="171"/>
      <c r="H2" s="171"/>
      <c r="I2" s="171"/>
    </row>
    <row r="3" spans="1:13">
      <c r="E3" s="171"/>
      <c r="F3" s="171"/>
      <c r="G3" s="171"/>
      <c r="H3" s="171"/>
      <c r="I3" s="171"/>
    </row>
    <row r="5" spans="1:13">
      <c r="C5" s="2" t="s">
        <v>252</v>
      </c>
      <c r="G5" s="5" t="s">
        <v>39</v>
      </c>
      <c r="H5" s="6">
        <f>+LESSIVEUSE!H5</f>
        <v>46244</v>
      </c>
    </row>
    <row r="6" spans="1:13" ht="15.75" thickBot="1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3" thickBot="1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3" ht="16.5" thickTop="1" thickBot="1">
      <c r="A8" t="s">
        <v>253</v>
      </c>
      <c r="B8" s="10" t="s">
        <v>254</v>
      </c>
      <c r="C8" s="25">
        <v>0.25</v>
      </c>
      <c r="D8" s="11">
        <v>0.5</v>
      </c>
      <c r="E8" s="11">
        <f t="shared" ref="E8" si="0">IF(D8&gt;C8,D8-C8,C8-D8)</f>
        <v>0.25</v>
      </c>
      <c r="F8" s="11">
        <v>0.52083333333333304</v>
      </c>
      <c r="G8" s="11">
        <v>0.60416666666666696</v>
      </c>
      <c r="H8" s="11">
        <f t="shared" ref="H8" si="1">IF(G8&gt;F8,G8-F8,F8-G8)</f>
        <v>8.3333333333333925E-2</v>
      </c>
      <c r="I8" s="17"/>
      <c r="J8" s="17"/>
      <c r="K8" s="11">
        <f t="shared" ref="K8" si="2">IF(J8&gt;I8,J8-I8,I8-J8)</f>
        <v>0</v>
      </c>
      <c r="L8" s="11">
        <f t="shared" ref="L8" si="3">E8+H8+K8</f>
        <v>0.33333333333333393</v>
      </c>
      <c r="M8" s="21"/>
    </row>
    <row r="9" spans="1:13" ht="16.5" thickTop="1" thickBot="1">
      <c r="A9" t="s">
        <v>255</v>
      </c>
      <c r="B9" s="10" t="s">
        <v>256</v>
      </c>
      <c r="C9" s="43">
        <v>0.25</v>
      </c>
      <c r="D9" s="43">
        <v>0.45833333333333298</v>
      </c>
      <c r="E9" s="11">
        <f t="shared" ref="E9" si="4">IF(D9&gt;C9,D9-C9,C9-D9)</f>
        <v>0.20833333333333298</v>
      </c>
      <c r="F9" s="43"/>
      <c r="G9" s="43"/>
      <c r="H9" s="11">
        <f>IF(G9&gt;F9,G9-F9,F9-G9)</f>
        <v>0</v>
      </c>
      <c r="I9" s="43">
        <v>0.70833333333333304</v>
      </c>
      <c r="J9" s="43">
        <v>1</v>
      </c>
      <c r="K9" s="44">
        <f>IF(J9&gt;I9,J9-I9,I9-J9)</f>
        <v>0.29166666666666696</v>
      </c>
      <c r="L9" s="11">
        <f t="shared" ref="L9" si="5">E9+H9+K9</f>
        <v>0.49999999999999994</v>
      </c>
      <c r="M9" s="21"/>
    </row>
    <row r="10" spans="1:13" ht="16.5" thickTop="1" thickBot="1">
      <c r="A10" t="s">
        <v>257</v>
      </c>
      <c r="B10" s="10" t="s">
        <v>258</v>
      </c>
      <c r="C10" s="25">
        <v>0.29166666666666702</v>
      </c>
      <c r="D10" s="11">
        <v>0.5</v>
      </c>
      <c r="E10" s="11">
        <f t="shared" ref="E10:E11" si="6">IF(D10&gt;C10,D10-C10,C10-D10)</f>
        <v>0.20833333333333298</v>
      </c>
      <c r="F10" s="11">
        <v>0.52083333333333304</v>
      </c>
      <c r="G10" s="25">
        <v>0.64583333333333304</v>
      </c>
      <c r="H10" s="11">
        <f t="shared" ref="H10:H11" si="7">IF(G10&gt;F10,G10-F10,F10-G10)</f>
        <v>0.125</v>
      </c>
      <c r="I10" s="17"/>
      <c r="J10" s="17"/>
      <c r="K10" s="11">
        <f t="shared" ref="K10:K11" si="8">IF(J10&gt;I10,J10-I10,I10-J10)</f>
        <v>0</v>
      </c>
      <c r="L10" s="11">
        <f t="shared" ref="L10:L11" si="9">E10+H10+K10</f>
        <v>0.33333333333333298</v>
      </c>
      <c r="M10" s="21"/>
    </row>
    <row r="11" spans="1:13">
      <c r="A11" t="s">
        <v>259</v>
      </c>
      <c r="B11" s="10" t="s">
        <v>260</v>
      </c>
      <c r="C11" s="25">
        <v>0.25</v>
      </c>
      <c r="D11" s="11">
        <v>0.5</v>
      </c>
      <c r="E11" s="11">
        <f t="shared" si="6"/>
        <v>0.25</v>
      </c>
      <c r="F11" s="11">
        <v>0.52083333333333304</v>
      </c>
      <c r="G11" s="11">
        <v>0.60416666666666696</v>
      </c>
      <c r="H11" s="11">
        <f t="shared" si="7"/>
        <v>8.3333333333333925E-2</v>
      </c>
      <c r="I11" s="17"/>
      <c r="J11" s="17"/>
      <c r="K11" s="11">
        <f t="shared" si="8"/>
        <v>0</v>
      </c>
      <c r="L11" s="11">
        <f t="shared" si="9"/>
        <v>0.33333333333333393</v>
      </c>
      <c r="M11" s="21"/>
    </row>
    <row r="12" spans="1:13" s="1" customFormat="1" ht="16.5" thickTop="1" thickBot="1">
      <c r="E12" s="15">
        <f>SUM(E8:E11)</f>
        <v>0.91666666666666596</v>
      </c>
      <c r="H12" s="15">
        <f>SUM(H8:H11)</f>
        <v>0.29166666666666785</v>
      </c>
      <c r="K12" s="15">
        <f>SUM(K8:K11)</f>
        <v>0.29166666666666696</v>
      </c>
      <c r="L12" s="15">
        <f>SUM(L8:L11)</f>
        <v>1.5000000000000009</v>
      </c>
    </row>
    <row r="14" spans="1:13">
      <c r="C14" s="2" t="s">
        <v>252</v>
      </c>
      <c r="G14" s="5" t="s">
        <v>32</v>
      </c>
      <c r="H14" s="6">
        <f>+H5+1</f>
        <v>46245</v>
      </c>
    </row>
    <row r="15" spans="1:13">
      <c r="C15" s="168" t="s">
        <v>3</v>
      </c>
      <c r="D15" s="168"/>
      <c r="E15" s="168"/>
      <c r="F15" s="169" t="s">
        <v>4</v>
      </c>
      <c r="G15" s="169"/>
      <c r="H15" s="169"/>
      <c r="I15" s="170" t="s">
        <v>5</v>
      </c>
      <c r="J15" s="170"/>
      <c r="K15" s="170"/>
    </row>
    <row r="16" spans="1:13">
      <c r="B16" s="7" t="s">
        <v>6</v>
      </c>
      <c r="C16" s="8" t="s">
        <v>7</v>
      </c>
      <c r="D16" s="8" t="s">
        <v>8</v>
      </c>
      <c r="E16" s="8" t="s">
        <v>9</v>
      </c>
      <c r="F16" s="9" t="s">
        <v>7</v>
      </c>
      <c r="G16" s="9" t="s">
        <v>8</v>
      </c>
      <c r="H16" s="9" t="s">
        <v>9</v>
      </c>
      <c r="I16" s="16" t="s">
        <v>7</v>
      </c>
      <c r="J16" s="16" t="s">
        <v>8</v>
      </c>
      <c r="K16" s="16" t="s">
        <v>9</v>
      </c>
      <c r="L16" s="7" t="s">
        <v>10</v>
      </c>
    </row>
    <row r="17" spans="1:12" ht="16.5" thickTop="1" thickBot="1">
      <c r="A17" t="s">
        <v>253</v>
      </c>
      <c r="B17" s="10" t="s">
        <v>254</v>
      </c>
      <c r="C17" s="25">
        <v>0.25</v>
      </c>
      <c r="D17" s="11">
        <v>0.45833333333333298</v>
      </c>
      <c r="E17" s="11">
        <f t="shared" ref="E17:E18" si="10">IF(D17&gt;C17,D17-C17,C17-D17)</f>
        <v>0.20833333333333301</v>
      </c>
      <c r="F17" s="11"/>
      <c r="G17" s="11"/>
      <c r="H17" s="11">
        <f>IF(G17&gt;F17,G17-F17,F17-G17)</f>
        <v>0</v>
      </c>
      <c r="I17" s="17">
        <v>0.70833333333333304</v>
      </c>
      <c r="J17" s="17">
        <v>1</v>
      </c>
      <c r="K17" s="11">
        <f>IF(J17&gt;I17,J17-I17,I17-J17)</f>
        <v>0.29166666666666696</v>
      </c>
      <c r="L17" s="11">
        <f t="shared" ref="L17:L18" si="11">E17+H17+K17</f>
        <v>0.5</v>
      </c>
    </row>
    <row r="18" spans="1:12" ht="16.5" thickTop="1" thickBot="1">
      <c r="A18" t="s">
        <v>255</v>
      </c>
      <c r="B18" s="10" t="s">
        <v>256</v>
      </c>
      <c r="C18" s="25">
        <v>0.20833333333333301</v>
      </c>
      <c r="D18" s="25">
        <v>0.33333333333333298</v>
      </c>
      <c r="E18" s="11">
        <f t="shared" si="10"/>
        <v>0.12499999999999997</v>
      </c>
      <c r="F18" s="11"/>
      <c r="G18" s="11"/>
      <c r="H18" s="11">
        <f>IF(G18&gt;F18,G18-F18,F18-G18)</f>
        <v>0</v>
      </c>
      <c r="I18" s="17"/>
      <c r="J18" s="17"/>
      <c r="K18" s="11">
        <f>IF(J18&gt;I18,J18-I18,I18-J18)</f>
        <v>0</v>
      </c>
      <c r="L18" s="11">
        <f t="shared" si="11"/>
        <v>0.12499999999999997</v>
      </c>
    </row>
    <row r="19" spans="1:12" ht="16.5" thickTop="1" thickBot="1">
      <c r="A19" t="s">
        <v>257</v>
      </c>
      <c r="B19" s="10" t="s">
        <v>258</v>
      </c>
      <c r="C19" s="25">
        <v>0.29166666666666702</v>
      </c>
      <c r="D19" s="11">
        <v>0.5</v>
      </c>
      <c r="E19" s="11">
        <f t="shared" ref="E19:E20" si="12">IF(D19&gt;C19,D19-C19,C19-D19)</f>
        <v>0.20833333333333301</v>
      </c>
      <c r="F19" s="11">
        <v>0.52083333333333304</v>
      </c>
      <c r="G19" s="25">
        <v>0.64583333333333304</v>
      </c>
      <c r="H19" s="11">
        <f t="shared" ref="H19:H20" si="13">IF(G19&gt;F19,G19-F19,F19-G19)</f>
        <v>0.125</v>
      </c>
      <c r="I19" s="17"/>
      <c r="J19" s="17"/>
      <c r="K19" s="11">
        <f t="shared" ref="K19:K20" si="14">IF(J19&gt;I19,J19-I19,I19-J19)</f>
        <v>0</v>
      </c>
      <c r="L19" s="11">
        <f t="shared" ref="L19:L20" si="15">E19+H19+K19</f>
        <v>0.33333333333333298</v>
      </c>
    </row>
    <row r="20" spans="1:12">
      <c r="A20" t="s">
        <v>259</v>
      </c>
      <c r="B20" s="10" t="s">
        <v>260</v>
      </c>
      <c r="C20" s="25">
        <v>0.25</v>
      </c>
      <c r="D20" s="11">
        <v>0.5</v>
      </c>
      <c r="E20" s="11">
        <f t="shared" si="12"/>
        <v>0.25</v>
      </c>
      <c r="F20" s="11">
        <v>0.52083333333333304</v>
      </c>
      <c r="G20" s="11">
        <v>0.60416666666666696</v>
      </c>
      <c r="H20" s="11">
        <f t="shared" si="13"/>
        <v>8.3333333333333301E-2</v>
      </c>
      <c r="I20" s="17"/>
      <c r="J20" s="17"/>
      <c r="K20" s="11">
        <f t="shared" si="14"/>
        <v>0</v>
      </c>
      <c r="L20" s="11">
        <f t="shared" si="15"/>
        <v>0.33333333333333298</v>
      </c>
    </row>
    <row r="21" spans="1:12" s="1" customFormat="1">
      <c r="E21" s="15">
        <f>SUM(E18:E20)</f>
        <v>0.58333333333333304</v>
      </c>
      <c r="H21" s="15">
        <f>SUM(H18:H20)</f>
        <v>0.20833333333333331</v>
      </c>
      <c r="K21" s="15">
        <f>SUM(K17:K20)</f>
        <v>0.29166666666666696</v>
      </c>
      <c r="L21" s="15">
        <f>SUM(L17:L20)</f>
        <v>1.2916666666666661</v>
      </c>
    </row>
    <row r="22" spans="1:12" s="1" customFormat="1">
      <c r="E22" s="23"/>
      <c r="H22" s="23"/>
      <c r="K22" s="23"/>
      <c r="L22" s="23"/>
    </row>
    <row r="23" spans="1:12">
      <c r="C23" s="2" t="s">
        <v>252</v>
      </c>
      <c r="G23" s="5" t="s">
        <v>34</v>
      </c>
      <c r="H23" s="6">
        <f>+H14+1</f>
        <v>46246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 ht="16.5" thickTop="1" thickBot="1">
      <c r="A26" t="s">
        <v>253</v>
      </c>
      <c r="B26" s="10" t="s">
        <v>254</v>
      </c>
      <c r="C26" s="25">
        <v>0.20833333333333301</v>
      </c>
      <c r="D26" s="25">
        <v>0.33333333333333298</v>
      </c>
      <c r="E26" s="11">
        <f t="shared" ref="E26:E27" si="16">IF(D26&gt;C26,D26-C26,C26-D26)</f>
        <v>0.125</v>
      </c>
      <c r="F26" s="11"/>
      <c r="G26" s="11"/>
      <c r="H26" s="11">
        <f>IF(G26&gt;F26,G26-F26,F26-G26)</f>
        <v>0</v>
      </c>
      <c r="I26" s="17"/>
      <c r="J26" s="17"/>
      <c r="K26" s="11">
        <f>IF(J26&gt;I26,J26-I26,I26-J26)</f>
        <v>0</v>
      </c>
      <c r="L26" s="11">
        <f t="shared" ref="L26:L27" si="17">E26+H26+K26</f>
        <v>0.125</v>
      </c>
    </row>
    <row r="27" spans="1:12" ht="16.5" thickTop="1" thickBot="1">
      <c r="A27" t="s">
        <v>255</v>
      </c>
      <c r="B27" s="10" t="s">
        <v>256</v>
      </c>
      <c r="C27" s="43">
        <v>0.25</v>
      </c>
      <c r="D27" s="43">
        <v>0.45833333333333298</v>
      </c>
      <c r="E27" s="11">
        <f t="shared" si="16"/>
        <v>0.20833333333333298</v>
      </c>
      <c r="F27" s="43">
        <v>0.58333333333333337</v>
      </c>
      <c r="G27" s="43">
        <v>0.70833333333333304</v>
      </c>
      <c r="H27" s="11">
        <v>0</v>
      </c>
      <c r="J27" s="43"/>
      <c r="K27" s="44">
        <f>IF(J27&gt;G27,J27-G27,G27-J27)</f>
        <v>0.70833333333333304</v>
      </c>
      <c r="L27" s="11">
        <f t="shared" si="17"/>
        <v>0.91666666666666607</v>
      </c>
    </row>
    <row r="28" spans="1:12" ht="16.5" thickTop="1" thickBot="1">
      <c r="A28" t="s">
        <v>257</v>
      </c>
      <c r="B28" s="10" t="s">
        <v>258</v>
      </c>
      <c r="C28" s="25">
        <v>0.29166666666666702</v>
      </c>
      <c r="D28" s="11">
        <v>0.5</v>
      </c>
      <c r="E28" s="11">
        <f t="shared" ref="E28:E29" si="18">IF(D28&gt;C28,D28-C28,C28-D28)</f>
        <v>0.20833333333333301</v>
      </c>
      <c r="F28" s="11">
        <v>0.52083333333333304</v>
      </c>
      <c r="G28" s="25">
        <v>0.64583333333333304</v>
      </c>
      <c r="H28" s="11">
        <f t="shared" ref="H28:H29" si="19">IF(G28&gt;F28,G28-F28,F28-G28)</f>
        <v>0.125</v>
      </c>
      <c r="I28" s="17"/>
      <c r="J28" s="17"/>
      <c r="K28" s="11">
        <f t="shared" ref="K28:K29" si="20">IF(J28&gt;I28,J28-I28,I28-J28)</f>
        <v>0</v>
      </c>
      <c r="L28" s="11">
        <f t="shared" ref="L28:L29" si="21">E28+H28+K28</f>
        <v>0.33333333333333298</v>
      </c>
    </row>
    <row r="29" spans="1:12">
      <c r="A29" t="s">
        <v>259</v>
      </c>
      <c r="B29" s="10" t="s">
        <v>260</v>
      </c>
      <c r="C29" s="43">
        <v>0.25</v>
      </c>
      <c r="D29" s="43">
        <v>0.45833333333333298</v>
      </c>
      <c r="E29" s="11">
        <f t="shared" si="18"/>
        <v>0.20833333333333301</v>
      </c>
      <c r="F29" s="43"/>
      <c r="G29" s="43"/>
      <c r="H29" s="11">
        <f t="shared" si="19"/>
        <v>0</v>
      </c>
      <c r="I29" s="43">
        <v>0.70833333333333304</v>
      </c>
      <c r="J29" s="43">
        <v>1</v>
      </c>
      <c r="K29" s="44">
        <f t="shared" si="20"/>
        <v>0.29166666666666702</v>
      </c>
      <c r="L29" s="11">
        <f t="shared" si="21"/>
        <v>0.5</v>
      </c>
    </row>
    <row r="30" spans="1:12" s="1" customFormat="1">
      <c r="E30" s="15">
        <f>SUM(E26:E29)</f>
        <v>0.749999999999999</v>
      </c>
      <c r="H30" s="15">
        <f>SUM(H26:H29)</f>
        <v>0.125</v>
      </c>
      <c r="K30" s="15">
        <f>SUM(K26:K29)</f>
        <v>1</v>
      </c>
      <c r="L30" s="15">
        <f>SUM(L26:L29)</f>
        <v>1.8749999999999991</v>
      </c>
    </row>
    <row r="31" spans="1:12" s="1" customFormat="1">
      <c r="E31" s="23"/>
      <c r="H31" s="23"/>
      <c r="K31" s="23"/>
      <c r="L31" s="23"/>
    </row>
    <row r="32" spans="1:12">
      <c r="C32" s="2" t="s">
        <v>252</v>
      </c>
      <c r="G32" s="5" t="s">
        <v>35</v>
      </c>
      <c r="H32" s="6">
        <f>+H23+1</f>
        <v>46247</v>
      </c>
    </row>
    <row r="33" spans="1:12">
      <c r="C33" s="168" t="s">
        <v>3</v>
      </c>
      <c r="D33" s="168"/>
      <c r="E33" s="168"/>
      <c r="F33" s="169" t="s">
        <v>4</v>
      </c>
      <c r="G33" s="169"/>
      <c r="H33" s="169"/>
      <c r="I33" s="170" t="s">
        <v>5</v>
      </c>
      <c r="J33" s="170"/>
      <c r="K33" s="170"/>
    </row>
    <row r="34" spans="1:12">
      <c r="B34" s="7" t="s">
        <v>6</v>
      </c>
      <c r="C34" s="8" t="s">
        <v>7</v>
      </c>
      <c r="D34" s="8" t="s">
        <v>8</v>
      </c>
      <c r="E34" s="8" t="s">
        <v>9</v>
      </c>
      <c r="F34" s="9" t="s">
        <v>7</v>
      </c>
      <c r="G34" s="9" t="s">
        <v>8</v>
      </c>
      <c r="H34" s="9" t="s">
        <v>9</v>
      </c>
      <c r="I34" s="16" t="s">
        <v>7</v>
      </c>
      <c r="J34" s="16" t="s">
        <v>8</v>
      </c>
      <c r="K34" s="16" t="s">
        <v>9</v>
      </c>
      <c r="L34" s="7" t="s">
        <v>10</v>
      </c>
    </row>
    <row r="35" spans="1:12" ht="16.5" thickTop="1" thickBot="1">
      <c r="A35" t="s">
        <v>253</v>
      </c>
      <c r="B35" s="10" t="s">
        <v>254</v>
      </c>
      <c r="C35" s="25">
        <v>0.25</v>
      </c>
      <c r="D35" s="11">
        <v>0.5</v>
      </c>
      <c r="E35" s="11">
        <f t="shared" ref="E35:E36" si="22">IF(D35&gt;C35,D35-C35,C35-D35)</f>
        <v>0.25</v>
      </c>
      <c r="F35" s="11">
        <v>0.52083333333333304</v>
      </c>
      <c r="G35" s="11">
        <v>0.60416666666666696</v>
      </c>
      <c r="H35" s="11">
        <f>IF(G35&gt;F35,G35-F35,F35-G35)</f>
        <v>8.3333333333333301E-2</v>
      </c>
      <c r="I35" s="17"/>
      <c r="J35" s="29"/>
      <c r="K35" s="11">
        <f>IF(J35&gt;I35,J35-I35,I35-J35)</f>
        <v>0</v>
      </c>
      <c r="L35" s="11">
        <f t="shared" ref="L35:L36" si="23">E35+H35+K35</f>
        <v>0.33333333333333298</v>
      </c>
    </row>
    <row r="36" spans="1:12" ht="16.5" thickTop="1" thickBot="1">
      <c r="A36" t="s">
        <v>255</v>
      </c>
      <c r="B36" s="10" t="s">
        <v>256</v>
      </c>
      <c r="C36" s="25">
        <v>0.20833333333333301</v>
      </c>
      <c r="D36" s="25">
        <v>0.33333333333333298</v>
      </c>
      <c r="E36" s="11">
        <f t="shared" si="22"/>
        <v>0.12499999999999997</v>
      </c>
      <c r="F36" s="11"/>
      <c r="G36" s="11"/>
      <c r="H36" s="11">
        <f t="shared" ref="H36" si="24">IF(G36&gt;F36,G36-F36,F36-G36)</f>
        <v>0</v>
      </c>
      <c r="I36" s="17"/>
      <c r="J36" s="17"/>
      <c r="K36" s="11">
        <f t="shared" ref="K36" si="25">IF(J36&gt;I36,J36-I36,I36-J36)</f>
        <v>0</v>
      </c>
      <c r="L36" s="11">
        <f t="shared" si="23"/>
        <v>0.12499999999999997</v>
      </c>
    </row>
    <row r="37" spans="1:12" ht="16.5" thickTop="1" thickBot="1">
      <c r="A37" t="s">
        <v>257</v>
      </c>
      <c r="B37" s="10" t="s">
        <v>258</v>
      </c>
      <c r="C37" s="25">
        <v>0.29166666666666702</v>
      </c>
      <c r="D37" s="11">
        <v>0.5</v>
      </c>
      <c r="E37" s="11">
        <f t="shared" ref="E37:E38" si="26">IF(D37&gt;C37,D37-C37,C37-D37)</f>
        <v>0.20833333333333301</v>
      </c>
      <c r="F37" s="11">
        <v>0.52083333333333304</v>
      </c>
      <c r="G37" s="25">
        <v>0.64583333333333304</v>
      </c>
      <c r="H37" s="11">
        <f t="shared" ref="H37:H38" si="27">IF(G37&gt;F37,G37-F37,F37-G37)</f>
        <v>0.125</v>
      </c>
      <c r="I37" s="17"/>
      <c r="J37" s="17"/>
      <c r="K37" s="11">
        <f t="shared" ref="K37:K38" si="28">IF(J37&gt;I37,J37-I37,I37-J37)</f>
        <v>0</v>
      </c>
      <c r="L37" s="11">
        <f t="shared" ref="L37:L38" si="29">E37+H37+K37</f>
        <v>0.33333333333333298</v>
      </c>
    </row>
    <row r="38" spans="1:12">
      <c r="A38" t="s">
        <v>259</v>
      </c>
      <c r="B38" s="10" t="s">
        <v>260</v>
      </c>
      <c r="C38" s="25">
        <v>0.20833333333333301</v>
      </c>
      <c r="D38" s="25">
        <v>0.33333333333333298</v>
      </c>
      <c r="E38" s="11">
        <f t="shared" si="26"/>
        <v>0.125</v>
      </c>
      <c r="F38" s="11"/>
      <c r="G38" s="11"/>
      <c r="H38" s="11">
        <f t="shared" si="27"/>
        <v>0</v>
      </c>
      <c r="I38" s="17"/>
      <c r="J38" s="17"/>
      <c r="K38" s="11">
        <f t="shared" si="28"/>
        <v>0</v>
      </c>
      <c r="L38" s="11">
        <f t="shared" si="29"/>
        <v>0.125</v>
      </c>
    </row>
    <row r="39" spans="1:12" s="1" customFormat="1">
      <c r="E39" s="15">
        <f>SUM(E35:E38)</f>
        <v>0.70833333333333304</v>
      </c>
      <c r="H39" s="15">
        <f>SUM(H35:H38)</f>
        <v>0.20833333333333331</v>
      </c>
      <c r="K39" s="15">
        <f>SUM(K35:K38)</f>
        <v>0</v>
      </c>
      <c r="L39" s="15">
        <f>SUM(L35:L38)</f>
        <v>0.91666666666666585</v>
      </c>
    </row>
    <row r="40" spans="1:12" s="1" customFormat="1">
      <c r="E40" s="23"/>
      <c r="H40" s="23"/>
      <c r="K40" s="23"/>
      <c r="L40" s="23"/>
    </row>
    <row r="41" spans="1:12">
      <c r="C41" s="2" t="s">
        <v>252</v>
      </c>
      <c r="G41" s="5" t="s">
        <v>36</v>
      </c>
      <c r="H41" s="6">
        <f>+H32+1</f>
        <v>46248</v>
      </c>
    </row>
    <row r="42" spans="1:12">
      <c r="C42" s="168" t="s">
        <v>3</v>
      </c>
      <c r="D42" s="168"/>
      <c r="E42" s="168"/>
      <c r="F42" s="169" t="s">
        <v>4</v>
      </c>
      <c r="G42" s="169"/>
      <c r="H42" s="169"/>
      <c r="I42" s="170" t="s">
        <v>5</v>
      </c>
      <c r="J42" s="170"/>
      <c r="K42" s="170"/>
    </row>
    <row r="43" spans="1:12">
      <c r="B43" s="7" t="s">
        <v>6</v>
      </c>
      <c r="C43" s="8" t="s">
        <v>7</v>
      </c>
      <c r="D43" s="8" t="s">
        <v>8</v>
      </c>
      <c r="E43" s="8" t="s">
        <v>9</v>
      </c>
      <c r="F43" s="9" t="s">
        <v>7</v>
      </c>
      <c r="G43" s="9" t="s">
        <v>8</v>
      </c>
      <c r="H43" s="9" t="s">
        <v>9</v>
      </c>
      <c r="I43" s="16" t="s">
        <v>7</v>
      </c>
      <c r="J43" s="16" t="s">
        <v>8</v>
      </c>
      <c r="K43" s="16" t="s">
        <v>9</v>
      </c>
      <c r="L43" s="7" t="s">
        <v>10</v>
      </c>
    </row>
    <row r="44" spans="1:12">
      <c r="A44" t="s">
        <v>253</v>
      </c>
      <c r="B44" s="10" t="s">
        <v>254</v>
      </c>
      <c r="C44" s="43">
        <v>0.25</v>
      </c>
      <c r="D44" s="43">
        <v>0.45833333333333298</v>
      </c>
      <c r="E44" s="11">
        <f>IF(D44&gt;C44,D44-C44,C44-D44)</f>
        <v>0.20833333333333301</v>
      </c>
      <c r="F44" s="43"/>
      <c r="G44" s="43"/>
      <c r="H44" s="11">
        <f>IF(G44&gt;F44,G44-F44,F44-G44)</f>
        <v>0</v>
      </c>
      <c r="I44" s="43">
        <v>0.70833333333333304</v>
      </c>
      <c r="J44" s="43">
        <v>1</v>
      </c>
      <c r="K44" s="44">
        <f>IF(J44&gt;I44,J44-I44,I44-J44)</f>
        <v>0.29166666666666702</v>
      </c>
      <c r="L44" s="11">
        <f>E44+H44+K44</f>
        <v>0.5</v>
      </c>
    </row>
    <row r="45" spans="1:12">
      <c r="A45" t="s">
        <v>255</v>
      </c>
      <c r="B45" s="10" t="s">
        <v>256</v>
      </c>
      <c r="C45" s="25">
        <v>0.20833333333333301</v>
      </c>
      <c r="D45" s="25">
        <v>0.33333333333333298</v>
      </c>
      <c r="E45" s="11">
        <f t="shared" ref="E45:E46" si="30">IF(D45&gt;C45,D45-C45,C45-D45)</f>
        <v>0.125</v>
      </c>
      <c r="F45" s="11"/>
      <c r="G45" s="11"/>
      <c r="H45" s="11">
        <f>IF(G45&gt;F45,G45-F45,F45-G45)</f>
        <v>0</v>
      </c>
      <c r="I45" s="17"/>
      <c r="J45" s="17"/>
      <c r="K45" s="11">
        <f>IF(J45&gt;I45,J45-I45,I45-J45)</f>
        <v>0</v>
      </c>
      <c r="L45" s="11">
        <f t="shared" ref="L45:L46" si="31">E45+H45+K45</f>
        <v>0.125</v>
      </c>
    </row>
    <row r="46" spans="1:12">
      <c r="A46" t="s">
        <v>257</v>
      </c>
      <c r="B46" s="10" t="s">
        <v>258</v>
      </c>
      <c r="C46" s="25">
        <v>0.29166666666666702</v>
      </c>
      <c r="D46" s="11">
        <v>0.5</v>
      </c>
      <c r="E46" s="11">
        <f t="shared" si="30"/>
        <v>0.20833333333333301</v>
      </c>
      <c r="F46" s="11">
        <v>0.52083333333333304</v>
      </c>
      <c r="G46" s="25">
        <v>0.64583333333333304</v>
      </c>
      <c r="H46" s="11">
        <f t="shared" ref="H46:H47" si="32">IF(G46&gt;F46,G46-F46,F46-G46)</f>
        <v>0.125</v>
      </c>
      <c r="I46" s="17"/>
      <c r="J46" s="17"/>
      <c r="K46" s="11">
        <f t="shared" ref="K46:K47" si="33">IF(J46&gt;I46,J46-I46,I46-J46)</f>
        <v>0</v>
      </c>
      <c r="L46" s="11">
        <f t="shared" si="31"/>
        <v>0.33333333333333298</v>
      </c>
    </row>
    <row r="47" spans="1:12">
      <c r="A47" t="s">
        <v>259</v>
      </c>
      <c r="B47" s="10" t="s">
        <v>260</v>
      </c>
      <c r="C47" s="25">
        <v>0.25</v>
      </c>
      <c r="D47" s="11">
        <v>0.45833333333333298</v>
      </c>
      <c r="E47" s="11">
        <f t="shared" ref="E47" si="34">IF(D47&gt;C47,D47-C47,C47-D47)</f>
        <v>0.20833333333333301</v>
      </c>
      <c r="F47" s="11">
        <v>0.58333333333333304</v>
      </c>
      <c r="G47" s="17">
        <v>0.70833333333333304</v>
      </c>
      <c r="H47" s="11">
        <f t="shared" si="32"/>
        <v>0.125</v>
      </c>
      <c r="I47" s="17"/>
      <c r="J47" s="17"/>
      <c r="K47" s="11">
        <f t="shared" si="33"/>
        <v>0</v>
      </c>
      <c r="L47" s="11">
        <f t="shared" ref="L47" si="35">E47+H47+K47</f>
        <v>0.33333333333333298</v>
      </c>
    </row>
    <row r="48" spans="1:12" s="1" customFormat="1">
      <c r="E48" s="15">
        <f>SUM(E44:E47)</f>
        <v>0.75</v>
      </c>
      <c r="H48" s="15">
        <f>SUM(H44:H47)</f>
        <v>0.25</v>
      </c>
      <c r="K48" s="15">
        <f>SUM(K44:K47)</f>
        <v>0.29166666666666702</v>
      </c>
      <c r="L48" s="15">
        <f>SUM(L44:L47)</f>
        <v>1.2916666666666701</v>
      </c>
    </row>
    <row r="49" spans="1:13" s="1" customFormat="1">
      <c r="E49" s="23"/>
      <c r="H49" s="23"/>
      <c r="K49" s="23"/>
      <c r="L49" s="23"/>
    </row>
    <row r="50" spans="1:13">
      <c r="C50" s="2" t="s">
        <v>252</v>
      </c>
      <c r="G50" s="5" t="s">
        <v>37</v>
      </c>
      <c r="H50" s="6">
        <f>+H41+1</f>
        <v>46249</v>
      </c>
    </row>
    <row r="51" spans="1:13">
      <c r="C51" s="168" t="s">
        <v>3</v>
      </c>
      <c r="D51" s="168"/>
      <c r="E51" s="168"/>
      <c r="F51" s="169" t="s">
        <v>4</v>
      </c>
      <c r="G51" s="169"/>
      <c r="H51" s="169"/>
      <c r="I51" s="170" t="s">
        <v>5</v>
      </c>
      <c r="J51" s="170"/>
      <c r="K51" s="170"/>
    </row>
    <row r="52" spans="1:13">
      <c r="B52" s="7" t="s">
        <v>6</v>
      </c>
      <c r="C52" s="8" t="s">
        <v>7</v>
      </c>
      <c r="D52" s="8" t="s">
        <v>8</v>
      </c>
      <c r="E52" s="8" t="s">
        <v>9</v>
      </c>
      <c r="F52" s="9" t="s">
        <v>7</v>
      </c>
      <c r="G52" s="9" t="s">
        <v>8</v>
      </c>
      <c r="H52" s="9" t="s">
        <v>9</v>
      </c>
      <c r="I52" s="16" t="s">
        <v>7</v>
      </c>
      <c r="J52" s="16" t="s">
        <v>8</v>
      </c>
      <c r="K52" s="16" t="s">
        <v>9</v>
      </c>
      <c r="L52" s="7" t="s">
        <v>10</v>
      </c>
    </row>
    <row r="53" spans="1:13">
      <c r="A53" t="s">
        <v>253</v>
      </c>
      <c r="B53" s="10" t="s">
        <v>254</v>
      </c>
      <c r="C53" s="25">
        <v>0.20833333333333301</v>
      </c>
      <c r="D53" s="25">
        <v>0.33333333333333298</v>
      </c>
      <c r="E53" s="11">
        <f t="shared" ref="E53" si="36">IF(D53&gt;C53,D53-C53,C53-D53)</f>
        <v>0.125</v>
      </c>
      <c r="F53" s="11"/>
      <c r="G53" s="11"/>
      <c r="H53" s="11">
        <f>IF(G53&gt;F53,G53-F53,F53-G53)</f>
        <v>0</v>
      </c>
      <c r="I53" s="17"/>
      <c r="J53" s="17"/>
      <c r="K53" s="11">
        <f>IF(J53&gt;I53,J53-I53,I53-J53)</f>
        <v>0</v>
      </c>
      <c r="L53" s="11">
        <f t="shared" ref="L53" si="37">E53+H53+K53</f>
        <v>0.125</v>
      </c>
    </row>
    <row r="54" spans="1:13">
      <c r="A54" t="s">
        <v>255</v>
      </c>
      <c r="B54" s="10" t="s">
        <v>256</v>
      </c>
      <c r="C54" s="25">
        <v>0.25</v>
      </c>
      <c r="D54" s="11">
        <v>0.5</v>
      </c>
      <c r="E54" s="11">
        <f t="shared" ref="E54" si="38">IF(D54&gt;C54,D54-C54,C54-D54)</f>
        <v>0.25</v>
      </c>
      <c r="F54" s="11">
        <v>0.52083333333333304</v>
      </c>
      <c r="G54" s="11">
        <v>0.60416666666666696</v>
      </c>
      <c r="H54" s="11">
        <f>IF(G54&gt;F54,G54-F54,F54-G54)</f>
        <v>8.3333333333333301E-2</v>
      </c>
      <c r="I54" s="17"/>
      <c r="J54" s="17"/>
      <c r="K54" s="11">
        <f>IF(J54&gt;I54,J54-I54,I54-J54)</f>
        <v>0</v>
      </c>
      <c r="L54" s="11">
        <f t="shared" ref="L54" si="39">E54+H54+K54</f>
        <v>0.33333333333333298</v>
      </c>
    </row>
    <row r="55" spans="1:13">
      <c r="A55" t="s">
        <v>257</v>
      </c>
      <c r="B55" s="10" t="s">
        <v>258</v>
      </c>
      <c r="C55" s="25">
        <v>0.29166666666666702</v>
      </c>
      <c r="D55" s="11">
        <v>0.5</v>
      </c>
      <c r="E55" s="11">
        <f t="shared" ref="E55:E56" si="40">IF(D55&gt;C55,D55-C55,C55-D55)</f>
        <v>0.20833333333333301</v>
      </c>
      <c r="F55" s="11">
        <v>0.52083333333333304</v>
      </c>
      <c r="G55" s="25">
        <v>0.64583333333333304</v>
      </c>
      <c r="H55" s="11">
        <f t="shared" ref="H55:H56" si="41">IF(G55&gt;F55,G55-F55,F55-G55)</f>
        <v>0.125</v>
      </c>
      <c r="I55" s="17"/>
      <c r="J55" s="17"/>
      <c r="K55" s="11">
        <f t="shared" ref="K55:K56" si="42">IF(J55&gt;I55,J55-I55,I55-J55)</f>
        <v>0</v>
      </c>
      <c r="L55" s="11">
        <f t="shared" ref="L55:L56" si="43">E55+H55+K55</f>
        <v>0.33333333333333298</v>
      </c>
    </row>
    <row r="56" spans="1:13">
      <c r="A56" t="s">
        <v>259</v>
      </c>
      <c r="B56" s="10" t="s">
        <v>260</v>
      </c>
      <c r="C56" s="25">
        <v>0.25</v>
      </c>
      <c r="D56" s="11">
        <v>0.5</v>
      </c>
      <c r="E56" s="11">
        <f t="shared" si="40"/>
        <v>0.25</v>
      </c>
      <c r="F56" s="11">
        <v>0.52083333333333304</v>
      </c>
      <c r="G56" s="11">
        <v>0.60416666666666696</v>
      </c>
      <c r="H56" s="11">
        <f t="shared" si="41"/>
        <v>8.3333333333333301E-2</v>
      </c>
      <c r="I56" s="17"/>
      <c r="J56" s="17"/>
      <c r="K56" s="11">
        <f t="shared" si="42"/>
        <v>0</v>
      </c>
      <c r="L56" s="11">
        <f t="shared" si="43"/>
        <v>0.33333333333333298</v>
      </c>
    </row>
    <row r="57" spans="1:13" s="1" customFormat="1">
      <c r="E57" s="15">
        <f>SUM(E53:E56)</f>
        <v>0.83333333333333304</v>
      </c>
      <c r="H57" s="15">
        <f>SUM(H53:H56)</f>
        <v>0.29166666666666702</v>
      </c>
      <c r="K57" s="15">
        <f>SUM(K53:K56)</f>
        <v>0</v>
      </c>
      <c r="L57" s="15">
        <f>SUM(L53:L56)</f>
        <v>1.125</v>
      </c>
    </row>
    <row r="58" spans="1:13" s="1" customFormat="1">
      <c r="E58" s="23"/>
      <c r="H58" s="23"/>
      <c r="K58" s="23"/>
      <c r="L58" s="23"/>
    </row>
    <row r="59" spans="1:13">
      <c r="C59" s="2" t="s">
        <v>252</v>
      </c>
      <c r="G59" s="5" t="s">
        <v>38</v>
      </c>
      <c r="H59" s="6">
        <f>+H50+1</f>
        <v>46250</v>
      </c>
    </row>
    <row r="60" spans="1:13">
      <c r="C60" s="168" t="s">
        <v>3</v>
      </c>
      <c r="D60" s="168"/>
      <c r="E60" s="168"/>
      <c r="F60" s="169" t="s">
        <v>4</v>
      </c>
      <c r="G60" s="169"/>
      <c r="H60" s="169"/>
      <c r="I60" s="170" t="s">
        <v>5</v>
      </c>
      <c r="J60" s="170"/>
      <c r="K60" s="170"/>
    </row>
    <row r="61" spans="1:13" ht="16.5" thickTop="1" thickBot="1">
      <c r="B61" s="7" t="s">
        <v>6</v>
      </c>
      <c r="C61" s="8" t="s">
        <v>7</v>
      </c>
      <c r="D61" s="8" t="s">
        <v>8</v>
      </c>
      <c r="E61" s="8" t="s">
        <v>9</v>
      </c>
      <c r="F61" s="9" t="s">
        <v>7</v>
      </c>
      <c r="G61" s="9" t="s">
        <v>8</v>
      </c>
      <c r="H61" s="9" t="s">
        <v>9</v>
      </c>
      <c r="I61" s="16" t="s">
        <v>7</v>
      </c>
      <c r="J61" s="16" t="s">
        <v>8</v>
      </c>
      <c r="K61" s="16" t="s">
        <v>9</v>
      </c>
      <c r="L61" s="7" t="s">
        <v>10</v>
      </c>
    </row>
    <row r="62" spans="1:13" ht="16.5" thickTop="1" thickBot="1">
      <c r="A62" t="s">
        <v>253</v>
      </c>
      <c r="B62" s="10" t="s">
        <v>254</v>
      </c>
      <c r="C62" s="25">
        <v>0.25</v>
      </c>
      <c r="D62" s="11">
        <v>0.45833333333333298</v>
      </c>
      <c r="E62" s="11">
        <f t="shared" ref="E62:E63" si="44">IF(D62&gt;C62,D62-C62,C62-D62)</f>
        <v>0.20833333333333301</v>
      </c>
      <c r="F62" s="11"/>
      <c r="G62" s="17"/>
      <c r="H62" s="11">
        <f>IF(G62&gt;F62,G62-F62,F62-G62)</f>
        <v>0</v>
      </c>
      <c r="I62" s="43">
        <v>0.70833333333333304</v>
      </c>
      <c r="J62" s="43">
        <v>1</v>
      </c>
      <c r="K62" s="44">
        <f>IF(J62&gt;I62,J62-I62,I62-J62)</f>
        <v>0.29166666666666696</v>
      </c>
      <c r="L62" s="11">
        <f t="shared" ref="L62:L63" si="45">E62+H62+K62</f>
        <v>0.5</v>
      </c>
    </row>
    <row r="63" spans="1:13" ht="16.5" thickTop="1" thickBot="1">
      <c r="A63" t="s">
        <v>255</v>
      </c>
      <c r="B63" s="10" t="s">
        <v>256</v>
      </c>
      <c r="C63" s="43">
        <v>0.25</v>
      </c>
      <c r="D63" s="43">
        <v>0.45833333333333298</v>
      </c>
      <c r="E63" s="11">
        <f t="shared" si="44"/>
        <v>0.20833333333333298</v>
      </c>
      <c r="F63" s="43">
        <v>0.58333333333333337</v>
      </c>
      <c r="G63" s="43">
        <v>0.70833333333333304</v>
      </c>
      <c r="H63" s="11">
        <v>0</v>
      </c>
      <c r="J63" s="43"/>
      <c r="K63" s="44">
        <f>IF(J63&gt;G63,J63-G63,G63-J63)</f>
        <v>0.70833333333333304</v>
      </c>
      <c r="L63" s="11">
        <f t="shared" si="45"/>
        <v>0.91666666666666607</v>
      </c>
    </row>
    <row r="64" spans="1:13" s="32" customFormat="1" ht="16.5" thickTop="1" thickBot="1">
      <c r="A64" t="s">
        <v>257</v>
      </c>
      <c r="B64" s="10" t="s">
        <v>258</v>
      </c>
      <c r="C64" s="40"/>
      <c r="D64" s="40"/>
      <c r="E64" s="40">
        <f t="shared" ref="E64:E65" si="46">IF(D64&gt;C64,D64-C64,C64-D64)</f>
        <v>0</v>
      </c>
      <c r="F64" s="40"/>
      <c r="G64" s="40"/>
      <c r="H64" s="40">
        <f t="shared" ref="H64" si="47">IF(G64&gt;F64,G64-F64,F64-G64)</f>
        <v>0</v>
      </c>
      <c r="I64" s="41"/>
      <c r="J64" s="41"/>
      <c r="K64" s="40">
        <f t="shared" ref="K64" si="48">IF(J64&gt;I64,J64-I64,I64-J64)</f>
        <v>0</v>
      </c>
      <c r="L64" s="42">
        <f t="shared" ref="L64:L65" si="49">E64+H64+K64</f>
        <v>0</v>
      </c>
      <c r="M64" s="32" t="s">
        <v>25</v>
      </c>
    </row>
    <row r="65" spans="1:12" ht="16.5" thickTop="1" thickBot="1">
      <c r="A65" t="s">
        <v>259</v>
      </c>
      <c r="B65" s="10" t="s">
        <v>260</v>
      </c>
      <c r="C65" s="25">
        <v>0.20833333333333301</v>
      </c>
      <c r="D65" s="25">
        <v>0.33333333333333298</v>
      </c>
      <c r="E65" s="11">
        <f t="shared" si="46"/>
        <v>0.12499999999999997</v>
      </c>
      <c r="F65" s="11"/>
      <c r="G65" s="11"/>
      <c r="H65" s="11">
        <f>IF(G65&gt;F65,G65-F65,F65-G65)</f>
        <v>0</v>
      </c>
      <c r="I65" s="17"/>
      <c r="J65" s="17"/>
      <c r="K65" s="11">
        <f>IF(J65&gt;I65,J65-I65,I65-J65)</f>
        <v>0</v>
      </c>
      <c r="L65" s="11">
        <f t="shared" si="49"/>
        <v>0.12499999999999997</v>
      </c>
    </row>
    <row r="66" spans="1:12" s="1" customFormat="1" ht="16.5" thickTop="1" thickBot="1">
      <c r="E66" s="15">
        <f>SUM(E62:E65)</f>
        <v>0.54166666666666596</v>
      </c>
      <c r="H66" s="15">
        <f>SUM(H62:H65)</f>
        <v>0</v>
      </c>
      <c r="K66" s="15">
        <f>SUM(K62:K65)</f>
        <v>1</v>
      </c>
      <c r="L66" s="15">
        <f>SUM(L62:L65)</f>
        <v>1.5416666666666661</v>
      </c>
    </row>
    <row r="67" spans="1:12" s="1" customFormat="1">
      <c r="E67" s="23"/>
      <c r="H67" s="23"/>
      <c r="K67" s="23"/>
      <c r="L67" s="23"/>
    </row>
    <row r="69" spans="1:12">
      <c r="B69" t="s">
        <v>253</v>
      </c>
      <c r="C69" s="10" t="s">
        <v>254</v>
      </c>
      <c r="D69" s="21" t="e">
        <f>+L8+L17+L26+#REF!+L44+L53+L62</f>
        <v>#REF!</v>
      </c>
    </row>
    <row r="70" spans="1:12">
      <c r="B70" t="s">
        <v>255</v>
      </c>
      <c r="C70" s="10" t="s">
        <v>256</v>
      </c>
      <c r="D70" s="21">
        <f>+L9+L18+L27+L35+L45+L54+L63</f>
        <v>3.2499999999999982</v>
      </c>
    </row>
    <row r="71" spans="1:12">
      <c r="B71" t="s">
        <v>257</v>
      </c>
      <c r="C71" s="10" t="s">
        <v>258</v>
      </c>
      <c r="D71" s="21">
        <f>+L10+L19+L28+L37+L46+L55+L64</f>
        <v>1.999999999999998</v>
      </c>
    </row>
    <row r="72" spans="1:12">
      <c r="B72" t="s">
        <v>259</v>
      </c>
      <c r="C72" s="10" t="s">
        <v>260</v>
      </c>
      <c r="D72" s="21">
        <f>+L11+L20+L29+L38+L47+L56+L65</f>
        <v>2.083333333333333</v>
      </c>
    </row>
  </sheetData>
  <mergeCells count="22">
    <mergeCell ref="C6:E6"/>
    <mergeCell ref="F6:H6"/>
    <mergeCell ref="I6:K6"/>
    <mergeCell ref="C15:E15"/>
    <mergeCell ref="F15:H15"/>
    <mergeCell ref="I15:K15"/>
    <mergeCell ref="C60:E60"/>
    <mergeCell ref="F60:H60"/>
    <mergeCell ref="I60:K60"/>
    <mergeCell ref="E2:I3"/>
    <mergeCell ref="C42:E42"/>
    <mergeCell ref="F42:H42"/>
    <mergeCell ref="I42:K42"/>
    <mergeCell ref="C51:E51"/>
    <mergeCell ref="F51:H51"/>
    <mergeCell ref="I51:K51"/>
    <mergeCell ref="C24:E24"/>
    <mergeCell ref="F24:H24"/>
    <mergeCell ref="I24:K24"/>
    <mergeCell ref="C33:E33"/>
    <mergeCell ref="F33:H33"/>
    <mergeCell ref="I33:K33"/>
  </mergeCells>
  <pageMargins left="0.7" right="0.7" top="0.75" bottom="0.28999999999999998" header="0.3" footer="0.3"/>
  <pageSetup paperSize="9" fitToHeight="0" orientation="landscape" verticalDpi="12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2:M57"/>
  <sheetViews>
    <sheetView workbookViewId="0">
      <selection activeCell="L9" sqref="L9"/>
    </sheetView>
  </sheetViews>
  <sheetFormatPr defaultColWidth="11" defaultRowHeight="15"/>
  <cols>
    <col min="1" max="1" width="7.7109375" style="3" customWidth="1"/>
  </cols>
  <sheetData>
    <row r="2" spans="1:12">
      <c r="E2" s="171" t="s">
        <v>329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261</v>
      </c>
      <c r="G5" s="5" t="s">
        <v>39</v>
      </c>
      <c r="H5" s="6">
        <f>+NETTOYEUR!H5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s="3" t="s">
        <v>262</v>
      </c>
      <c r="B8" s="10" t="s">
        <v>263</v>
      </c>
      <c r="C8" s="25">
        <v>0.25</v>
      </c>
      <c r="D8" s="11">
        <v>0.5</v>
      </c>
      <c r="E8" s="11">
        <f t="shared" ref="E8:E9" si="0">IF(D8&gt;C8,D8-C8,C8-D8)</f>
        <v>0.25</v>
      </c>
      <c r="F8" s="11">
        <v>0.52083333333333304</v>
      </c>
      <c r="G8" s="25">
        <v>0.60416666666666696</v>
      </c>
      <c r="H8" s="11">
        <f>IF(G8&gt;F8,G8-F8,F8-G8)</f>
        <v>8.3333333333333301E-2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A9" s="3" t="s">
        <v>264</v>
      </c>
      <c r="B9" s="10" t="s">
        <v>265</v>
      </c>
      <c r="C9" s="25">
        <v>0.25</v>
      </c>
      <c r="D9" s="11">
        <v>0.45833333333333298</v>
      </c>
      <c r="E9" s="11">
        <f t="shared" si="0"/>
        <v>0.20833333333333301</v>
      </c>
      <c r="F9" s="11">
        <v>0.58333333333333304</v>
      </c>
      <c r="G9" s="25">
        <v>0.70833333333333304</v>
      </c>
      <c r="H9" s="11">
        <f>IF(G9&gt;F9,G9-F9,F9-G9)</f>
        <v>0.125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2" s="1" customFormat="1">
      <c r="A10" s="14"/>
      <c r="E10" s="15">
        <f>SUM(E8:E9)</f>
        <v>0.45833333333333298</v>
      </c>
      <c r="H10" s="15">
        <f>SUM(H8:H9)</f>
        <v>0.20833333333333301</v>
      </c>
      <c r="K10" s="15">
        <f>SUM(K8:K8)</f>
        <v>0</v>
      </c>
      <c r="L10" s="15">
        <f>SUM(L8:L9)</f>
        <v>0.66666666666666696</v>
      </c>
    </row>
    <row r="12" spans="1:12">
      <c r="C12" s="2" t="s">
        <v>261</v>
      </c>
      <c r="G12" s="5" t="s">
        <v>32</v>
      </c>
      <c r="H12" s="6">
        <f>+H5+1</f>
        <v>46245</v>
      </c>
    </row>
    <row r="13" spans="1:12">
      <c r="C13" s="168" t="s">
        <v>3</v>
      </c>
      <c r="D13" s="168"/>
      <c r="E13" s="168"/>
      <c r="F13" s="169" t="s">
        <v>4</v>
      </c>
      <c r="G13" s="169"/>
      <c r="H13" s="169"/>
      <c r="I13" s="170" t="s">
        <v>5</v>
      </c>
      <c r="J13" s="170"/>
      <c r="K13" s="170"/>
    </row>
    <row r="14" spans="1:12">
      <c r="B14" s="7" t="s">
        <v>6</v>
      </c>
      <c r="C14" s="8" t="s">
        <v>7</v>
      </c>
      <c r="D14" s="8" t="s">
        <v>8</v>
      </c>
      <c r="E14" s="8" t="s">
        <v>9</v>
      </c>
      <c r="F14" s="9" t="s">
        <v>7</v>
      </c>
      <c r="G14" s="9" t="s">
        <v>8</v>
      </c>
      <c r="H14" s="9" t="s">
        <v>9</v>
      </c>
      <c r="I14" s="16" t="s">
        <v>7</v>
      </c>
      <c r="J14" s="16" t="s">
        <v>8</v>
      </c>
      <c r="K14" s="16" t="s">
        <v>9</v>
      </c>
      <c r="L14" s="7" t="s">
        <v>10</v>
      </c>
    </row>
    <row r="15" spans="1:12">
      <c r="A15" s="3" t="s">
        <v>262</v>
      </c>
      <c r="B15" s="10" t="s">
        <v>263</v>
      </c>
      <c r="C15" s="25">
        <v>0.25</v>
      </c>
      <c r="D15" s="11">
        <v>0.45833333333333298</v>
      </c>
      <c r="E15" s="11">
        <f t="shared" ref="E15:E16" si="1">IF(D15&gt;C15,D15-C15,C15-D15)</f>
        <v>0.20833333333333301</v>
      </c>
      <c r="F15" s="11">
        <v>0.60416666666666696</v>
      </c>
      <c r="G15" s="25">
        <v>0.72916666666666696</v>
      </c>
      <c r="H15" s="11">
        <f>IF(G15&gt;F15,G15-F15,F15-G15)</f>
        <v>0.125</v>
      </c>
      <c r="I15" s="17"/>
      <c r="J15" s="17"/>
      <c r="K15" s="11">
        <f>IF(J15&gt;I15,J15-I15,I15-J15)</f>
        <v>0</v>
      </c>
      <c r="L15" s="11">
        <f>E15+H15+K15</f>
        <v>0.33333333333333298</v>
      </c>
    </row>
    <row r="16" spans="1:12">
      <c r="A16" s="3" t="s">
        <v>264</v>
      </c>
      <c r="B16" s="10" t="s">
        <v>265</v>
      </c>
      <c r="C16" s="25">
        <v>0.25</v>
      </c>
      <c r="D16" s="11">
        <v>0.5</v>
      </c>
      <c r="E16" s="11">
        <f t="shared" si="1"/>
        <v>0.25</v>
      </c>
      <c r="F16" s="11">
        <v>0.52083333333333304</v>
      </c>
      <c r="G16" s="25">
        <v>0.60416666666666696</v>
      </c>
      <c r="H16" s="11">
        <f>IF(G16&gt;F16,G16-F16,F16-G16)</f>
        <v>8.3333333333333301E-2</v>
      </c>
      <c r="I16" s="17"/>
      <c r="J16" s="17"/>
      <c r="K16" s="11">
        <f>IF(J16&gt;I16,J16-I16,I16-J16)</f>
        <v>0</v>
      </c>
      <c r="L16" s="11">
        <f>E16+H16+K16</f>
        <v>0.33333333333333298</v>
      </c>
    </row>
    <row r="17" spans="1:12" s="1" customFormat="1">
      <c r="A17" s="14"/>
      <c r="E17" s="15">
        <f>SUM(E15:E16)</f>
        <v>0.45833333333333298</v>
      </c>
      <c r="H17" s="15">
        <f>SUM(H15:H16)</f>
        <v>0.20833333333333301</v>
      </c>
      <c r="K17" s="15">
        <f>SUM(K15:K15)</f>
        <v>0</v>
      </c>
      <c r="L17" s="15">
        <f>SUM(L15:L16)</f>
        <v>0.66666666666666696</v>
      </c>
    </row>
    <row r="19" spans="1:12">
      <c r="C19" s="2" t="s">
        <v>261</v>
      </c>
      <c r="G19" s="5" t="s">
        <v>34</v>
      </c>
      <c r="H19" s="6">
        <f>+H12+1</f>
        <v>46246</v>
      </c>
    </row>
    <row r="20" spans="1:12">
      <c r="C20" s="168" t="s">
        <v>3</v>
      </c>
      <c r="D20" s="168"/>
      <c r="E20" s="168"/>
      <c r="F20" s="169" t="s">
        <v>4</v>
      </c>
      <c r="G20" s="169"/>
      <c r="H20" s="169"/>
      <c r="I20" s="170" t="s">
        <v>5</v>
      </c>
      <c r="J20" s="170"/>
      <c r="K20" s="170"/>
    </row>
    <row r="21" spans="1:12">
      <c r="B21" s="7" t="s">
        <v>6</v>
      </c>
      <c r="C21" s="8" t="s">
        <v>7</v>
      </c>
      <c r="D21" s="8" t="s">
        <v>8</v>
      </c>
      <c r="E21" s="8" t="s">
        <v>9</v>
      </c>
      <c r="F21" s="9" t="s">
        <v>7</v>
      </c>
      <c r="G21" s="9" t="s">
        <v>8</v>
      </c>
      <c r="H21" s="9" t="s">
        <v>9</v>
      </c>
      <c r="I21" s="16" t="s">
        <v>7</v>
      </c>
      <c r="J21" s="16" t="s">
        <v>8</v>
      </c>
      <c r="K21" s="16" t="s">
        <v>9</v>
      </c>
      <c r="L21" s="7" t="s">
        <v>10</v>
      </c>
    </row>
    <row r="22" spans="1:12">
      <c r="A22" s="3" t="s">
        <v>262</v>
      </c>
      <c r="B22" s="10" t="s">
        <v>263</v>
      </c>
      <c r="C22" s="25">
        <v>0.25</v>
      </c>
      <c r="D22" s="11">
        <v>0.5</v>
      </c>
      <c r="E22" s="11">
        <f t="shared" ref="E22:E23" si="2">IF(D22&gt;C22,D22-C22,C22-D22)</f>
        <v>0.25</v>
      </c>
      <c r="F22" s="11">
        <v>0.52083333333333304</v>
      </c>
      <c r="G22" s="25">
        <v>0.60416666666666696</v>
      </c>
      <c r="H22" s="11">
        <f>IF(G22&gt;F22,G22-F22,F22-G22)</f>
        <v>8.3333333333333301E-2</v>
      </c>
      <c r="I22" s="17"/>
      <c r="J22" s="17"/>
      <c r="K22" s="11">
        <f>IF(J22&gt;I22,J22-I22,I22-J22)</f>
        <v>0</v>
      </c>
      <c r="L22" s="11">
        <f>E22+H22+K22</f>
        <v>0.33333333333333298</v>
      </c>
    </row>
    <row r="23" spans="1:12">
      <c r="A23" s="3" t="s">
        <v>264</v>
      </c>
      <c r="B23" s="10" t="s">
        <v>265</v>
      </c>
      <c r="C23" s="25">
        <v>0.25</v>
      </c>
      <c r="D23" s="11">
        <v>0.45833333333333298</v>
      </c>
      <c r="E23" s="11">
        <f t="shared" si="2"/>
        <v>0.20833333333333301</v>
      </c>
      <c r="F23" s="11">
        <v>0.58333333333333304</v>
      </c>
      <c r="G23" s="25">
        <v>0.70833333333333304</v>
      </c>
      <c r="H23" s="11">
        <f>IF(G23&gt;F23,G23-F23,F23-G23)</f>
        <v>0.125</v>
      </c>
      <c r="I23" s="17"/>
      <c r="J23" s="17"/>
      <c r="K23" s="11">
        <f>IF(J23&gt;I23,J23-I23,I23-J23)</f>
        <v>0</v>
      </c>
      <c r="L23" s="11">
        <f>E23+H23+K23</f>
        <v>0.33333333333333298</v>
      </c>
    </row>
    <row r="24" spans="1:12" s="1" customFormat="1">
      <c r="A24" s="14"/>
      <c r="E24" s="15">
        <f>SUM(E22:E23)</f>
        <v>0.45833333333333298</v>
      </c>
      <c r="H24" s="15">
        <f>SUM(H22:H23)</f>
        <v>0.20833333333333301</v>
      </c>
      <c r="K24" s="15">
        <f>SUM(K22:K22)</f>
        <v>0</v>
      </c>
      <c r="L24" s="15">
        <f>SUM(L22:L23)</f>
        <v>0.66666666666666696</v>
      </c>
    </row>
    <row r="26" spans="1:12">
      <c r="C26" s="2" t="s">
        <v>261</v>
      </c>
      <c r="G26" s="5" t="s">
        <v>35</v>
      </c>
      <c r="H26" s="6">
        <f>+H19+1</f>
        <v>46247</v>
      </c>
    </row>
    <row r="27" spans="1:12">
      <c r="C27" s="168" t="s">
        <v>3</v>
      </c>
      <c r="D27" s="168"/>
      <c r="E27" s="168"/>
      <c r="F27" s="169" t="s">
        <v>4</v>
      </c>
      <c r="G27" s="169"/>
      <c r="H27" s="169"/>
      <c r="I27" s="170" t="s">
        <v>5</v>
      </c>
      <c r="J27" s="170"/>
      <c r="K27" s="170"/>
    </row>
    <row r="28" spans="1:12">
      <c r="B28" s="7" t="s">
        <v>6</v>
      </c>
      <c r="C28" s="8" t="s">
        <v>7</v>
      </c>
      <c r="D28" s="8" t="s">
        <v>8</v>
      </c>
      <c r="E28" s="8" t="s">
        <v>9</v>
      </c>
      <c r="F28" s="9" t="s">
        <v>7</v>
      </c>
      <c r="G28" s="9" t="s">
        <v>8</v>
      </c>
      <c r="H28" s="9" t="s">
        <v>9</v>
      </c>
      <c r="I28" s="16" t="s">
        <v>7</v>
      </c>
      <c r="J28" s="16" t="s">
        <v>8</v>
      </c>
      <c r="K28" s="16" t="s">
        <v>9</v>
      </c>
      <c r="L28" s="7" t="s">
        <v>10</v>
      </c>
    </row>
    <row r="29" spans="1:12">
      <c r="A29" s="3" t="s">
        <v>262</v>
      </c>
      <c r="B29" s="10" t="s">
        <v>263</v>
      </c>
      <c r="C29" s="25">
        <v>0.25</v>
      </c>
      <c r="D29" s="11">
        <v>0.45833333333333298</v>
      </c>
      <c r="E29" s="11">
        <f t="shared" ref="E29" si="3">IF(D29&gt;C29,D29-C29,C29-D29)</f>
        <v>0.20833333333333301</v>
      </c>
      <c r="F29" s="11">
        <v>0.60416666666666696</v>
      </c>
      <c r="G29" s="25">
        <v>0.72916666666666696</v>
      </c>
      <c r="H29" s="11">
        <f>IF(G29&gt;F29,G29-F29,F29-G29)</f>
        <v>0.125</v>
      </c>
      <c r="I29" s="17"/>
      <c r="J29" s="17"/>
      <c r="K29" s="11">
        <f>IF(J29&gt;I29,J29-I29,I29-J29)</f>
        <v>0</v>
      </c>
      <c r="L29" s="11">
        <f>E29+H29+K29</f>
        <v>0.33333333333333298</v>
      </c>
    </row>
    <row r="30" spans="1:12">
      <c r="A30" s="3" t="s">
        <v>264</v>
      </c>
      <c r="B30" s="10" t="s">
        <v>265</v>
      </c>
      <c r="C30" s="25">
        <v>0.25</v>
      </c>
      <c r="D30" s="11">
        <v>0.5</v>
      </c>
      <c r="E30" s="11">
        <f t="shared" ref="E30" si="4">IF(D30&gt;C30,D30-C30,C30-D30)</f>
        <v>0.25</v>
      </c>
      <c r="F30" s="11">
        <v>0.52083333333333304</v>
      </c>
      <c r="G30" s="25">
        <v>0.60416666666666696</v>
      </c>
      <c r="H30" s="11">
        <f>IF(G30&gt;F30,G30-F30,F30-G30)</f>
        <v>8.3333333333333301E-2</v>
      </c>
      <c r="I30" s="17"/>
      <c r="J30" s="17"/>
      <c r="K30" s="11">
        <f>IF(J30&gt;I30,J30-I30,I30-J30)</f>
        <v>0</v>
      </c>
      <c r="L30" s="11">
        <f>E30+H30+K30</f>
        <v>0.33333333333333298</v>
      </c>
    </row>
    <row r="31" spans="1:12" s="1" customFormat="1">
      <c r="A31" s="14"/>
      <c r="E31" s="15">
        <f>SUM(E29:E30)</f>
        <v>0.45833333333333298</v>
      </c>
      <c r="H31" s="15">
        <f>SUM(H29:H30)</f>
        <v>0.20833333333333301</v>
      </c>
      <c r="K31" s="15">
        <f>SUM(K29:K29)</f>
        <v>0</v>
      </c>
      <c r="L31" s="15">
        <f>SUM(L29:L30)</f>
        <v>0.66666666666666696</v>
      </c>
    </row>
    <row r="33" spans="1:13">
      <c r="C33" s="2" t="s">
        <v>261</v>
      </c>
      <c r="G33" s="5" t="s">
        <v>36</v>
      </c>
      <c r="H33" s="6">
        <f>+H26+1</f>
        <v>46248</v>
      </c>
    </row>
    <row r="34" spans="1:13">
      <c r="C34" s="168" t="s">
        <v>3</v>
      </c>
      <c r="D34" s="168"/>
      <c r="E34" s="168"/>
      <c r="F34" s="169" t="s">
        <v>4</v>
      </c>
      <c r="G34" s="169"/>
      <c r="H34" s="169"/>
      <c r="I34" s="170" t="s">
        <v>5</v>
      </c>
      <c r="J34" s="170"/>
      <c r="K34" s="170"/>
    </row>
    <row r="35" spans="1:13">
      <c r="B35" s="7" t="s">
        <v>6</v>
      </c>
      <c r="C35" s="8" t="s">
        <v>7</v>
      </c>
      <c r="D35" s="8" t="s">
        <v>8</v>
      </c>
      <c r="E35" s="8" t="s">
        <v>9</v>
      </c>
      <c r="F35" s="9" t="s">
        <v>7</v>
      </c>
      <c r="G35" s="9" t="s">
        <v>8</v>
      </c>
      <c r="H35" s="9" t="s">
        <v>9</v>
      </c>
      <c r="I35" s="16" t="s">
        <v>7</v>
      </c>
      <c r="J35" s="16" t="s">
        <v>8</v>
      </c>
      <c r="K35" s="16" t="s">
        <v>9</v>
      </c>
      <c r="L35" s="7" t="s">
        <v>10</v>
      </c>
    </row>
    <row r="36" spans="1:13">
      <c r="A36" s="3" t="s">
        <v>262</v>
      </c>
      <c r="B36" s="10" t="s">
        <v>263</v>
      </c>
      <c r="C36" s="25">
        <v>0.25</v>
      </c>
      <c r="D36" s="11">
        <v>0.5</v>
      </c>
      <c r="E36" s="11">
        <f t="shared" ref="E36:E37" si="5">IF(D36&gt;C36,D36-C36,C36-D36)</f>
        <v>0.25</v>
      </c>
      <c r="F36" s="11">
        <v>0.52083333333333304</v>
      </c>
      <c r="G36" s="25">
        <v>0.60416666666666696</v>
      </c>
      <c r="H36" s="11">
        <f>IF(G36&gt;F36,G36-F36,F36-G36)</f>
        <v>8.3333333333333301E-2</v>
      </c>
      <c r="I36" s="17"/>
      <c r="J36" s="17"/>
      <c r="K36" s="11">
        <f>IF(J36&gt;I36,J36-I36,I36-J36)</f>
        <v>0</v>
      </c>
      <c r="L36" s="11">
        <f>E36+H36+K36</f>
        <v>0.33333333333333298</v>
      </c>
    </row>
    <row r="37" spans="1:13">
      <c r="A37" s="3" t="s">
        <v>264</v>
      </c>
      <c r="B37" s="10" t="s">
        <v>265</v>
      </c>
      <c r="C37" s="25">
        <v>0.25</v>
      </c>
      <c r="D37" s="11">
        <v>0.45833333333333298</v>
      </c>
      <c r="E37" s="11">
        <f t="shared" si="5"/>
        <v>0.20833333333333301</v>
      </c>
      <c r="F37" s="11">
        <v>0.58333333333333304</v>
      </c>
      <c r="G37" s="25">
        <v>0.70833333333333304</v>
      </c>
      <c r="H37" s="11">
        <f>IF(G37&gt;F37,G37-F37,F37-G37)</f>
        <v>0.125</v>
      </c>
      <c r="I37" s="17"/>
      <c r="J37" s="17"/>
      <c r="K37" s="11">
        <f>IF(J37&gt;I37,J37-I37,I37-J37)</f>
        <v>0</v>
      </c>
      <c r="L37" s="11">
        <f>E37+H37+K37</f>
        <v>0.33333333333333298</v>
      </c>
    </row>
    <row r="38" spans="1:13" s="1" customFormat="1">
      <c r="A38" s="14"/>
      <c r="E38" s="15">
        <f>SUM(E36:E37)</f>
        <v>0.45833333333333298</v>
      </c>
      <c r="H38" s="15">
        <f>SUM(H36:H37)</f>
        <v>0.20833333333333301</v>
      </c>
      <c r="K38" s="15">
        <f>SUM(K36:K36)</f>
        <v>0</v>
      </c>
      <c r="L38" s="15">
        <f>SUM(L36:L37)</f>
        <v>0.66666666666666696</v>
      </c>
    </row>
    <row r="40" spans="1:13">
      <c r="C40" s="2" t="s">
        <v>261</v>
      </c>
      <c r="G40" s="5" t="s">
        <v>266</v>
      </c>
      <c r="H40" s="6">
        <f>+H33+1</f>
        <v>46249</v>
      </c>
    </row>
    <row r="41" spans="1:13">
      <c r="C41" s="168" t="s">
        <v>3</v>
      </c>
      <c r="D41" s="168"/>
      <c r="E41" s="168"/>
      <c r="F41" s="169" t="s">
        <v>4</v>
      </c>
      <c r="G41" s="169"/>
      <c r="H41" s="169"/>
      <c r="I41" s="170" t="s">
        <v>5</v>
      </c>
      <c r="J41" s="170"/>
      <c r="K41" s="170"/>
    </row>
    <row r="42" spans="1:13">
      <c r="B42" s="7" t="s">
        <v>6</v>
      </c>
      <c r="C42" s="8" t="s">
        <v>7</v>
      </c>
      <c r="D42" s="8" t="s">
        <v>8</v>
      </c>
      <c r="E42" s="8" t="s">
        <v>9</v>
      </c>
      <c r="F42" s="9" t="s">
        <v>7</v>
      </c>
      <c r="G42" s="9" t="s">
        <v>8</v>
      </c>
      <c r="H42" s="9" t="s">
        <v>9</v>
      </c>
      <c r="I42" s="16" t="s">
        <v>7</v>
      </c>
      <c r="J42" s="16" t="s">
        <v>8</v>
      </c>
      <c r="K42" s="16" t="s">
        <v>9</v>
      </c>
      <c r="L42" s="7" t="s">
        <v>10</v>
      </c>
    </row>
    <row r="43" spans="1:13">
      <c r="A43" s="3" t="s">
        <v>262</v>
      </c>
      <c r="B43" s="10" t="s">
        <v>263</v>
      </c>
      <c r="C43" s="25">
        <v>0.25</v>
      </c>
      <c r="D43" s="11">
        <v>0.45833333333333298</v>
      </c>
      <c r="E43" s="11">
        <f t="shared" ref="E43:E44" si="6">IF(D43&gt;C43,D43-C43,C43-D43)</f>
        <v>0.20833333333333301</v>
      </c>
      <c r="F43" s="11">
        <v>0.58333333333333304</v>
      </c>
      <c r="G43" s="25">
        <v>0.70833333333333304</v>
      </c>
      <c r="H43" s="11">
        <f>IF(G43&gt;F43,G43-F43,F43-G43)</f>
        <v>0.125</v>
      </c>
      <c r="I43" s="17"/>
      <c r="J43" s="17"/>
      <c r="K43" s="11">
        <f>IF(J43&gt;I43,J43-I43,I43-J43)</f>
        <v>0</v>
      </c>
      <c r="L43" s="11">
        <f>E43+H43+K43</f>
        <v>0.33333333333333298</v>
      </c>
    </row>
    <row r="44" spans="1:13">
      <c r="A44" s="3" t="s">
        <v>264</v>
      </c>
      <c r="B44" s="10" t="s">
        <v>265</v>
      </c>
      <c r="C44" s="40"/>
      <c r="D44" s="40"/>
      <c r="E44" s="40">
        <f t="shared" si="6"/>
        <v>0</v>
      </c>
      <c r="F44" s="40"/>
      <c r="G44" s="40"/>
      <c r="H44" s="40">
        <f>IF(G44&gt;F44,G44-F44,F44-G44)</f>
        <v>0</v>
      </c>
      <c r="I44" s="41"/>
      <c r="J44" s="41"/>
      <c r="K44" s="40">
        <f>IF(J44&gt;I44,J44-I44,I44-J44)</f>
        <v>0</v>
      </c>
      <c r="L44" s="42">
        <f>E44+H44+K44</f>
        <v>0</v>
      </c>
      <c r="M44" s="32" t="s">
        <v>25</v>
      </c>
    </row>
    <row r="45" spans="1:13" s="1" customFormat="1">
      <c r="A45" s="14"/>
      <c r="E45" s="15">
        <f>SUM(E43:E43)</f>
        <v>0.20833333333333301</v>
      </c>
      <c r="H45" s="15">
        <f>SUM(H43:H43)</f>
        <v>0.125</v>
      </c>
      <c r="K45" s="15">
        <f>SUM(K43:K43)</f>
        <v>0</v>
      </c>
      <c r="L45" s="15">
        <f>SUM(L43:L43)</f>
        <v>0.33333333333333298</v>
      </c>
    </row>
    <row r="46" spans="1:13" s="1" customFormat="1">
      <c r="A46" s="14"/>
      <c r="E46" s="23"/>
      <c r="H46" s="23"/>
      <c r="K46" s="23"/>
      <c r="L46" s="23"/>
    </row>
    <row r="47" spans="1:13">
      <c r="C47" s="2" t="s">
        <v>261</v>
      </c>
      <c r="G47" s="5" t="s">
        <v>38</v>
      </c>
      <c r="H47" s="6">
        <f>+H40+1</f>
        <v>46250</v>
      </c>
    </row>
    <row r="48" spans="1:13">
      <c r="C48" s="168" t="s">
        <v>3</v>
      </c>
      <c r="D48" s="168"/>
      <c r="E48" s="168"/>
      <c r="F48" s="169" t="s">
        <v>4</v>
      </c>
      <c r="G48" s="169"/>
      <c r="H48" s="169"/>
      <c r="I48" s="170" t="s">
        <v>5</v>
      </c>
      <c r="J48" s="170"/>
      <c r="K48" s="170"/>
    </row>
    <row r="49" spans="1:13">
      <c r="B49" s="7" t="s">
        <v>6</v>
      </c>
      <c r="C49" s="8" t="s">
        <v>7</v>
      </c>
      <c r="D49" s="8" t="s">
        <v>8</v>
      </c>
      <c r="E49" s="8" t="s">
        <v>9</v>
      </c>
      <c r="F49" s="9" t="s">
        <v>7</v>
      </c>
      <c r="G49" s="9" t="s">
        <v>8</v>
      </c>
      <c r="H49" s="9" t="s">
        <v>9</v>
      </c>
      <c r="I49" s="16" t="s">
        <v>7</v>
      </c>
      <c r="J49" s="16" t="s">
        <v>8</v>
      </c>
      <c r="K49" s="16" t="s">
        <v>9</v>
      </c>
      <c r="L49" s="7" t="s">
        <v>10</v>
      </c>
    </row>
    <row r="50" spans="1:13" s="32" customFormat="1">
      <c r="A50" s="3" t="s">
        <v>262</v>
      </c>
      <c r="B50" s="10" t="s">
        <v>263</v>
      </c>
      <c r="C50" s="40"/>
      <c r="D50" s="40"/>
      <c r="E50" s="40">
        <f t="shared" ref="E50:E51" si="7">IF(D50&gt;C50,D50-C50,C50-D50)</f>
        <v>0</v>
      </c>
      <c r="F50" s="40"/>
      <c r="G50" s="40"/>
      <c r="H50" s="40">
        <f>IF(G50&gt;F50,G50-F50,F50-G50)</f>
        <v>0</v>
      </c>
      <c r="I50" s="41"/>
      <c r="J50" s="41"/>
      <c r="K50" s="40">
        <f>IF(J50&gt;I50,J50-I50,I50-J50)</f>
        <v>0</v>
      </c>
      <c r="L50" s="42">
        <f>E50+H50+K50</f>
        <v>0</v>
      </c>
      <c r="M50" s="32" t="s">
        <v>25</v>
      </c>
    </row>
    <row r="51" spans="1:13">
      <c r="A51" s="3" t="s">
        <v>264</v>
      </c>
      <c r="B51" s="10" t="s">
        <v>265</v>
      </c>
      <c r="C51" s="25">
        <v>0.25</v>
      </c>
      <c r="D51" s="11">
        <v>0.5</v>
      </c>
      <c r="E51" s="11">
        <f t="shared" si="7"/>
        <v>0.25</v>
      </c>
      <c r="F51" s="11">
        <v>0.52083333333333304</v>
      </c>
      <c r="G51" s="25">
        <v>0.60416666666666696</v>
      </c>
      <c r="H51" s="11">
        <f>IF(G51&gt;F51,G51-F51,F51-G51)</f>
        <v>8.3333333333333301E-2</v>
      </c>
      <c r="I51" s="17"/>
      <c r="J51" s="17"/>
      <c r="K51" s="11">
        <f>IF(J51&gt;I51,J51-I51,I51-J51)</f>
        <v>0</v>
      </c>
      <c r="L51" s="11">
        <f>E51+H51+K51</f>
        <v>0.33333333333333298</v>
      </c>
    </row>
    <row r="52" spans="1:13" s="1" customFormat="1">
      <c r="A52" s="14"/>
      <c r="E52" s="15">
        <f>SUM(E50:E51)</f>
        <v>0.25</v>
      </c>
      <c r="H52" s="15">
        <f>SUM(H50:H51)</f>
        <v>8.3333333333333301E-2</v>
      </c>
      <c r="K52" s="15">
        <f>SUM(K50:K50)</f>
        <v>0</v>
      </c>
      <c r="L52" s="15">
        <f>SUM(L50:L51)</f>
        <v>0.33333333333333298</v>
      </c>
    </row>
    <row r="55" spans="1:13">
      <c r="B55" s="3" t="s">
        <v>262</v>
      </c>
      <c r="C55" s="10" t="s">
        <v>263</v>
      </c>
      <c r="D55" s="21">
        <f>+L8+L15+L22+L29+L36+L43+L50</f>
        <v>2</v>
      </c>
    </row>
    <row r="56" spans="1:13">
      <c r="B56" s="3" t="s">
        <v>267</v>
      </c>
      <c r="C56" s="10" t="s">
        <v>268</v>
      </c>
      <c r="D56" s="21"/>
    </row>
    <row r="57" spans="1:13">
      <c r="B57" s="3" t="s">
        <v>264</v>
      </c>
      <c r="C57" s="10" t="s">
        <v>265</v>
      </c>
      <c r="D57" s="21">
        <f>+L9+L16+L23+L30+L37+L44+L51</f>
        <v>2</v>
      </c>
    </row>
  </sheetData>
  <mergeCells count="22">
    <mergeCell ref="C6:E6"/>
    <mergeCell ref="F6:H6"/>
    <mergeCell ref="I6:K6"/>
    <mergeCell ref="C13:E13"/>
    <mergeCell ref="F13:H13"/>
    <mergeCell ref="I13:K13"/>
    <mergeCell ref="C48:E48"/>
    <mergeCell ref="F48:H48"/>
    <mergeCell ref="I48:K48"/>
    <mergeCell ref="E2:I3"/>
    <mergeCell ref="C34:E34"/>
    <mergeCell ref="F34:H34"/>
    <mergeCell ref="I34:K34"/>
    <mergeCell ref="C41:E41"/>
    <mergeCell ref="F41:H41"/>
    <mergeCell ref="I41:K41"/>
    <mergeCell ref="C20:E20"/>
    <mergeCell ref="F20:H20"/>
    <mergeCell ref="I20:K20"/>
    <mergeCell ref="C27:E27"/>
    <mergeCell ref="F27:H27"/>
    <mergeCell ref="I27:K27"/>
  </mergeCells>
  <pageMargins left="0.7" right="0.7" top="0.75" bottom="0.28999999999999998" header="0.3" footer="0.3"/>
  <pageSetup paperSize="9" fitToHeight="0" orientation="landscape" verticalDpi="12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1:X64"/>
  <sheetViews>
    <sheetView zoomScale="122" zoomScaleNormal="122" workbookViewId="0">
      <selection activeCell="J12" sqref="J12"/>
    </sheetView>
  </sheetViews>
  <sheetFormatPr defaultColWidth="11" defaultRowHeight="15"/>
  <cols>
    <col min="1" max="1" width="11.5703125" style="3"/>
  </cols>
  <sheetData>
    <row r="1" spans="1:24">
      <c r="B1" s="10"/>
    </row>
    <row r="2" spans="1:24">
      <c r="B2" s="10"/>
      <c r="E2" s="171" t="s">
        <v>328</v>
      </c>
      <c r="F2" s="171"/>
      <c r="G2" s="171"/>
      <c r="H2" s="171"/>
      <c r="I2" s="171"/>
    </row>
    <row r="3" spans="1:24">
      <c r="B3" s="10"/>
      <c r="E3" s="171"/>
      <c r="F3" s="171"/>
      <c r="G3" s="171"/>
      <c r="H3" s="171"/>
      <c r="I3" s="171"/>
    </row>
    <row r="5" spans="1:24">
      <c r="C5" s="2" t="s">
        <v>269</v>
      </c>
      <c r="G5" s="31" t="s">
        <v>39</v>
      </c>
      <c r="H5" s="6">
        <f>+JARDINIER!H5</f>
        <v>46244</v>
      </c>
    </row>
    <row r="6" spans="1:24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24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/>
      <c r="J7" s="16"/>
      <c r="K7" s="16" t="s">
        <v>9</v>
      </c>
      <c r="L7" s="7" t="s">
        <v>10</v>
      </c>
      <c r="N7" s="25">
        <v>0.33333333333333298</v>
      </c>
      <c r="O7" s="11">
        <v>0.5</v>
      </c>
      <c r="P7" s="11">
        <f t="shared" ref="P7" si="0">IF(O7&gt;N7,O7-N7,N7-O7)</f>
        <v>0.16666666666666699</v>
      </c>
      <c r="Q7" s="11">
        <v>0.5</v>
      </c>
      <c r="R7" s="11">
        <v>0.75</v>
      </c>
      <c r="S7" s="11">
        <f>IF(R7&gt;Q7,R7-Q7,Q7-R7)</f>
        <v>0.25</v>
      </c>
      <c r="T7" s="17">
        <v>0.75</v>
      </c>
      <c r="U7" s="29">
        <v>0.91666666666666696</v>
      </c>
      <c r="V7" s="11">
        <f>IF(U6&gt;T6,U6-T6,T6-U6)</f>
        <v>0</v>
      </c>
      <c r="W7" s="11">
        <f t="shared" ref="W7" si="1">P7+S7+V7</f>
        <v>0.41666666666666702</v>
      </c>
    </row>
    <row r="8" spans="1:24">
      <c r="A8" s="3" t="s">
        <v>270</v>
      </c>
      <c r="B8" s="10" t="s">
        <v>71</v>
      </c>
      <c r="C8" s="25">
        <v>0.125</v>
      </c>
      <c r="D8" s="25">
        <v>0.3125</v>
      </c>
      <c r="E8" s="11">
        <f>IF(D8&gt;C8,D8-C8,C8-D8)</f>
        <v>0.1875</v>
      </c>
      <c r="F8" s="11"/>
      <c r="G8" s="11"/>
      <c r="H8" s="11">
        <f>IF(G8&gt;F8,G8-F8,F8-G8)</f>
        <v>0</v>
      </c>
      <c r="I8" s="17"/>
      <c r="J8" s="17"/>
      <c r="K8" s="11">
        <f>IF(J8&gt;I8,J8-I8,I8-J8)</f>
        <v>0</v>
      </c>
      <c r="L8" s="11">
        <f>E8+H8+K8</f>
        <v>0.1875</v>
      </c>
    </row>
    <row r="9" spans="1:24">
      <c r="A9" s="3" t="s">
        <v>271</v>
      </c>
      <c r="B9" s="10" t="s">
        <v>272</v>
      </c>
      <c r="C9" s="25">
        <v>0.33333333333333298</v>
      </c>
      <c r="D9" s="11">
        <v>0.5</v>
      </c>
      <c r="E9" s="11">
        <f t="shared" ref="E9:E10" si="2">IF(D9&gt;C9,D9-C9,C9-D9)</f>
        <v>0.16666666666666702</v>
      </c>
      <c r="F9" s="11">
        <v>0.5</v>
      </c>
      <c r="G9" s="11">
        <v>0.75</v>
      </c>
      <c r="H9" s="11">
        <f>IF(G9&gt;F9,G9-F9,F9-G9)</f>
        <v>0.25</v>
      </c>
      <c r="I9" s="17">
        <v>0.75</v>
      </c>
      <c r="J9" s="29">
        <v>0.91666666666666696</v>
      </c>
      <c r="K9" s="11">
        <f>IF(J9&gt;I9,J9-I9,I9-J8)</f>
        <v>0.16666666666666696</v>
      </c>
      <c r="L9" s="11">
        <f>E9+H9+K9</f>
        <v>0.58333333333333393</v>
      </c>
    </row>
    <row r="10" spans="1:24">
      <c r="A10" s="3" t="s">
        <v>273</v>
      </c>
      <c r="B10" s="10" t="s">
        <v>274</v>
      </c>
      <c r="C10" s="25">
        <v>0.29166666666666702</v>
      </c>
      <c r="D10" s="11">
        <v>0.5</v>
      </c>
      <c r="E10" s="11">
        <f t="shared" si="2"/>
        <v>0.20833333333333298</v>
      </c>
      <c r="F10" s="11">
        <v>0.54166666666666696</v>
      </c>
      <c r="G10" s="25">
        <v>0.70833333333333304</v>
      </c>
      <c r="H10" s="11">
        <f>IF(G10&gt;F10,G10-F10,F10-G10)</f>
        <v>0.16666666666666607</v>
      </c>
      <c r="I10" s="17"/>
      <c r="J10" s="17"/>
      <c r="K10" s="11">
        <f>IF(J9&gt;I9,J9-I9,I9-J9)</f>
        <v>0.16666666666666696</v>
      </c>
      <c r="L10" s="11">
        <f t="shared" ref="L10" si="3">E10+H10+K10</f>
        <v>0.54166666666666607</v>
      </c>
    </row>
    <row r="11" spans="1:24">
      <c r="E11" s="11">
        <f>SUM(E8:E10)</f>
        <v>0.5625</v>
      </c>
      <c r="H11" s="11">
        <f>SUM(H8:H10)</f>
        <v>0.41666666666666607</v>
      </c>
      <c r="K11" s="11">
        <f>SUM(K8:K10)</f>
        <v>0.33333333333333393</v>
      </c>
      <c r="L11" s="15">
        <f>SUM(L8:L10)</f>
        <v>1.3125</v>
      </c>
      <c r="O11" s="25">
        <v>0.125</v>
      </c>
      <c r="P11" s="25">
        <v>0.3125</v>
      </c>
      <c r="Q11" s="11">
        <f>IF(P11&gt;O11,P11-O11,O11-P11)</f>
        <v>0.1875</v>
      </c>
      <c r="R11" s="11"/>
      <c r="S11" s="11"/>
      <c r="T11" s="11">
        <f>IF(S11&gt;R11,S11-R11,R11-S11)</f>
        <v>0</v>
      </c>
      <c r="U11" s="17"/>
      <c r="V11" s="17"/>
      <c r="W11" s="11">
        <f>IF(V11&gt;U11,V11-U11,U11-V11)</f>
        <v>0</v>
      </c>
      <c r="X11" s="11">
        <f>Q11+T11+W11</f>
        <v>0.1875</v>
      </c>
    </row>
    <row r="13" spans="1:24">
      <c r="C13" s="2" t="s">
        <v>269</v>
      </c>
      <c r="G13" s="31" t="s">
        <v>32</v>
      </c>
      <c r="H13" s="6">
        <f>+H5+1</f>
        <v>46245</v>
      </c>
    </row>
    <row r="14" spans="1:24">
      <c r="C14" s="168" t="s">
        <v>3</v>
      </c>
      <c r="D14" s="168"/>
      <c r="E14" s="168"/>
      <c r="F14" s="169" t="s">
        <v>4</v>
      </c>
      <c r="G14" s="169"/>
      <c r="H14" s="169"/>
      <c r="I14" s="170" t="s">
        <v>5</v>
      </c>
      <c r="J14" s="170"/>
      <c r="K14" s="170"/>
    </row>
    <row r="15" spans="1:24">
      <c r="B15" s="7" t="s">
        <v>6</v>
      </c>
      <c r="C15" s="8" t="s">
        <v>7</v>
      </c>
      <c r="D15" s="8" t="s">
        <v>8</v>
      </c>
      <c r="E15" s="8" t="s">
        <v>9</v>
      </c>
      <c r="F15" s="9" t="s">
        <v>7</v>
      </c>
      <c r="G15" s="9" t="s">
        <v>8</v>
      </c>
      <c r="H15" s="9" t="s">
        <v>9</v>
      </c>
      <c r="I15" s="16" t="s">
        <v>7</v>
      </c>
      <c r="J15" s="16" t="s">
        <v>8</v>
      </c>
      <c r="K15" s="16" t="s">
        <v>9</v>
      </c>
      <c r="L15" s="7" t="s">
        <v>10</v>
      </c>
    </row>
    <row r="16" spans="1:24">
      <c r="A16" s="3" t="s">
        <v>270</v>
      </c>
      <c r="B16" s="10" t="s">
        <v>71</v>
      </c>
      <c r="C16" s="25">
        <v>0.33333333333333298</v>
      </c>
      <c r="D16" s="11">
        <v>0.5</v>
      </c>
      <c r="E16" s="11">
        <f t="shared" ref="E16" si="4">IF(D16&gt;C16,D16-C16,C16-D16)</f>
        <v>0.16666666666666699</v>
      </c>
      <c r="F16" s="11">
        <v>0.5</v>
      </c>
      <c r="G16" s="11">
        <v>0.75</v>
      </c>
      <c r="H16" s="11">
        <f>IF(G16&gt;F16,G16-F16,F16-G16)</f>
        <v>0.25</v>
      </c>
      <c r="I16" s="17">
        <v>0.75</v>
      </c>
      <c r="J16" s="29">
        <v>0.91666666666666696</v>
      </c>
      <c r="K16" s="11">
        <f>IF(J16&gt;I16,J16-I16,I16-J15)</f>
        <v>0.16666666666666699</v>
      </c>
      <c r="L16" s="11">
        <f>E16+H16+K16</f>
        <v>0.58333333333333304</v>
      </c>
    </row>
    <row r="17" spans="1:12">
      <c r="A17" s="3" t="s">
        <v>271</v>
      </c>
      <c r="B17" s="10" t="s">
        <v>272</v>
      </c>
      <c r="C17" s="25">
        <v>0.125</v>
      </c>
      <c r="D17" s="25">
        <v>0.3125</v>
      </c>
      <c r="E17" s="11">
        <f t="shared" ref="E17:E18" si="5">IF(D17&gt;C17,D17-C17,C17-D17)</f>
        <v>0.1875</v>
      </c>
      <c r="F17" s="11"/>
      <c r="G17" s="11"/>
      <c r="H17" s="11">
        <f>IF(G17&gt;F17,G17-F17,F17-G17)</f>
        <v>0</v>
      </c>
      <c r="I17" s="17"/>
      <c r="J17" s="17"/>
      <c r="K17" s="11">
        <f>IF(J17&gt;I17,J17-I17,I17-J17)</f>
        <v>0</v>
      </c>
      <c r="L17" s="11">
        <f t="shared" ref="L17:L18" si="6">E17+H17+K17</f>
        <v>0.1875</v>
      </c>
    </row>
    <row r="18" spans="1:12">
      <c r="A18" s="3" t="s">
        <v>273</v>
      </c>
      <c r="B18" s="10" t="s">
        <v>274</v>
      </c>
      <c r="C18" s="25">
        <v>0.29166666666666702</v>
      </c>
      <c r="D18" s="11">
        <v>0.5</v>
      </c>
      <c r="E18" s="11">
        <f t="shared" si="5"/>
        <v>0.20833333333333298</v>
      </c>
      <c r="F18" s="11">
        <v>0.54166666666666696</v>
      </c>
      <c r="G18" s="25">
        <v>0.70833333333333304</v>
      </c>
      <c r="H18" s="11">
        <f>IF(G18&gt;F18,G18-F18,F18-G18)</f>
        <v>0.16666666666666607</v>
      </c>
      <c r="I18" s="17"/>
      <c r="J18" s="17"/>
      <c r="K18" s="11">
        <f>IF(J17&gt;I17,J17-I17,I17-J17)</f>
        <v>0</v>
      </c>
      <c r="L18" s="11">
        <f t="shared" si="6"/>
        <v>0.37499999999999906</v>
      </c>
    </row>
    <row r="19" spans="1:12">
      <c r="E19" s="11">
        <f>SUM(E16:E18)</f>
        <v>0.5625</v>
      </c>
      <c r="H19" s="11">
        <f>SUM(H16:H18)</f>
        <v>0.41666666666666607</v>
      </c>
      <c r="K19" s="11">
        <f>SUM(K16:K18)</f>
        <v>0.16666666666666699</v>
      </c>
      <c r="L19" s="15">
        <f>SUM(L16:L18)</f>
        <v>1.1458333333333321</v>
      </c>
    </row>
    <row r="21" spans="1:12">
      <c r="C21" s="2" t="s">
        <v>269</v>
      </c>
      <c r="G21" s="31" t="s">
        <v>34</v>
      </c>
      <c r="H21" s="6">
        <f>+H13+1</f>
        <v>46246</v>
      </c>
    </row>
    <row r="22" spans="1:12">
      <c r="C22" s="168" t="s">
        <v>3</v>
      </c>
      <c r="D22" s="168"/>
      <c r="E22" s="168"/>
      <c r="F22" s="169" t="s">
        <v>4</v>
      </c>
      <c r="G22" s="169"/>
      <c r="H22" s="169"/>
      <c r="I22" s="170" t="s">
        <v>5</v>
      </c>
      <c r="J22" s="170"/>
      <c r="K22" s="170"/>
    </row>
    <row r="23" spans="1:12">
      <c r="B23" s="7" t="s">
        <v>6</v>
      </c>
      <c r="C23" s="8" t="s">
        <v>7</v>
      </c>
      <c r="D23" s="8" t="s">
        <v>8</v>
      </c>
      <c r="E23" s="8" t="s">
        <v>9</v>
      </c>
      <c r="F23" s="9" t="s">
        <v>7</v>
      </c>
      <c r="G23" s="9" t="s">
        <v>8</v>
      </c>
      <c r="H23" s="9" t="s">
        <v>9</v>
      </c>
      <c r="I23" s="16" t="s">
        <v>7</v>
      </c>
      <c r="J23" s="16" t="s">
        <v>8</v>
      </c>
      <c r="K23" s="16" t="s">
        <v>9</v>
      </c>
      <c r="L23" s="7" t="s">
        <v>10</v>
      </c>
    </row>
    <row r="24" spans="1:12">
      <c r="A24" s="3" t="s">
        <v>270</v>
      </c>
      <c r="B24" s="10" t="s">
        <v>71</v>
      </c>
      <c r="C24" s="25">
        <v>0.125</v>
      </c>
      <c r="D24" s="25">
        <v>0.3125</v>
      </c>
      <c r="E24" s="11">
        <f>IF(D24&gt;C24,D24-C24,C24-D24)</f>
        <v>0.1875</v>
      </c>
      <c r="F24" s="11"/>
      <c r="G24" s="11"/>
      <c r="H24" s="11">
        <f>IF(G24&gt;F24,G24-F24,F24-G24)</f>
        <v>0</v>
      </c>
      <c r="I24" s="17"/>
      <c r="J24" s="17"/>
      <c r="K24" s="11">
        <f>IF(J24&gt;I24,J24-I24,I24-J24)</f>
        <v>0</v>
      </c>
      <c r="L24" s="11">
        <f>E24+H24+K24</f>
        <v>0.1875</v>
      </c>
    </row>
    <row r="25" spans="1:12">
      <c r="A25" s="3" t="s">
        <v>271</v>
      </c>
      <c r="B25" s="10" t="s">
        <v>272</v>
      </c>
      <c r="C25" s="25">
        <v>0.33333333333333298</v>
      </c>
      <c r="D25" s="11">
        <v>0.5</v>
      </c>
      <c r="E25" s="11">
        <f t="shared" ref="E25:E26" si="7">IF(D25&gt;C25,D25-C25,C25-D25)</f>
        <v>0.16666666666666702</v>
      </c>
      <c r="F25" s="11">
        <v>0.5</v>
      </c>
      <c r="G25" s="11">
        <v>0.75</v>
      </c>
      <c r="H25" s="11">
        <f>IF(G25&gt;F25,G25-F25,F25-G25)</f>
        <v>0.25</v>
      </c>
      <c r="I25" s="17">
        <v>0.75</v>
      </c>
      <c r="J25" s="29">
        <v>0.91666666666666696</v>
      </c>
      <c r="K25" s="11">
        <f>IF(J25&gt;I25,J25-I25,I25-J24)</f>
        <v>0.16666666666666696</v>
      </c>
      <c r="L25" s="11">
        <f>E25+H25+K25</f>
        <v>0.58333333333333393</v>
      </c>
    </row>
    <row r="26" spans="1:12">
      <c r="A26" s="3" t="s">
        <v>273</v>
      </c>
      <c r="B26" s="10" t="s">
        <v>274</v>
      </c>
      <c r="C26" s="25">
        <v>0.29166666666666702</v>
      </c>
      <c r="D26" s="11">
        <v>0.5</v>
      </c>
      <c r="E26" s="11">
        <f t="shared" si="7"/>
        <v>0.20833333333333298</v>
      </c>
      <c r="F26" s="11">
        <v>0.54166666666666696</v>
      </c>
      <c r="G26" s="25">
        <v>0.70833333333333304</v>
      </c>
      <c r="H26" s="11">
        <f>IF(G26&gt;F26,G26-F26,F26-G26)</f>
        <v>0.16666666666666607</v>
      </c>
      <c r="I26" s="17"/>
      <c r="J26" s="17"/>
      <c r="K26" s="11">
        <f>IF(J25&gt;I25,J25-I25,I25-J25)</f>
        <v>0.16666666666666696</v>
      </c>
      <c r="L26" s="11">
        <f t="shared" ref="L26" si="8">E26+H26+K26</f>
        <v>0.54166666666666607</v>
      </c>
    </row>
    <row r="27" spans="1:12">
      <c r="D27" s="18"/>
      <c r="E27" s="11">
        <f>SUM(E24:E26)</f>
        <v>0.5625</v>
      </c>
      <c r="H27" s="11">
        <f>SUM(H24:H26)</f>
        <v>0.41666666666666607</v>
      </c>
      <c r="K27" s="11">
        <f>SUM(K24:K26)</f>
        <v>0.33333333333333393</v>
      </c>
      <c r="L27" s="15">
        <f>SUM(L24:L26)</f>
        <v>1.3125</v>
      </c>
    </row>
    <row r="29" spans="1:12">
      <c r="C29" s="2" t="s">
        <v>269</v>
      </c>
      <c r="G29" s="31" t="s">
        <v>35</v>
      </c>
      <c r="H29" s="6">
        <f>+H21+1</f>
        <v>46247</v>
      </c>
    </row>
    <row r="30" spans="1:12">
      <c r="C30" s="168" t="s">
        <v>3</v>
      </c>
      <c r="D30" s="168"/>
      <c r="E30" s="168"/>
      <c r="F30" s="169" t="s">
        <v>4</v>
      </c>
      <c r="G30" s="169"/>
      <c r="H30" s="169"/>
      <c r="I30" s="170" t="s">
        <v>5</v>
      </c>
      <c r="J30" s="170"/>
      <c r="K30" s="170"/>
    </row>
    <row r="31" spans="1:12">
      <c r="B31" s="7" t="s">
        <v>6</v>
      </c>
      <c r="C31" s="8" t="s">
        <v>7</v>
      </c>
      <c r="D31" s="8" t="s">
        <v>8</v>
      </c>
      <c r="E31" s="8" t="s">
        <v>9</v>
      </c>
      <c r="F31" s="9" t="s">
        <v>7</v>
      </c>
      <c r="G31" s="9" t="s">
        <v>8</v>
      </c>
      <c r="H31" s="9" t="s">
        <v>9</v>
      </c>
      <c r="I31" s="16" t="s">
        <v>7</v>
      </c>
      <c r="J31" s="16" t="s">
        <v>8</v>
      </c>
      <c r="K31" s="16" t="s">
        <v>9</v>
      </c>
      <c r="L31" s="7" t="s">
        <v>10</v>
      </c>
    </row>
    <row r="32" spans="1:12">
      <c r="A32" s="3" t="s">
        <v>270</v>
      </c>
      <c r="B32" s="10" t="s">
        <v>71</v>
      </c>
      <c r="C32" s="25">
        <v>0.33333333333333298</v>
      </c>
      <c r="D32" s="11">
        <v>0.5</v>
      </c>
      <c r="E32" s="11">
        <f t="shared" ref="E32" si="9">IF(D32&gt;C32,D32-C32,C32-D32)</f>
        <v>0.16666666666666699</v>
      </c>
      <c r="F32" s="11">
        <v>0.5</v>
      </c>
      <c r="G32" s="11">
        <v>0.75</v>
      </c>
      <c r="H32" s="11">
        <f>IF(G32&gt;F32,G32-F32,F32-G32)</f>
        <v>0.25</v>
      </c>
      <c r="I32" s="17">
        <v>0.75</v>
      </c>
      <c r="J32" s="29">
        <v>0.91666666666666696</v>
      </c>
      <c r="K32" s="11">
        <f>IF(J32&gt;I32,J32-I32,I32-J31)</f>
        <v>0.16666666666666699</v>
      </c>
      <c r="L32" s="11">
        <f>E32+H32+K32</f>
        <v>0.58333333333333304</v>
      </c>
    </row>
    <row r="33" spans="1:12">
      <c r="A33" s="3" t="s">
        <v>271</v>
      </c>
      <c r="B33" s="10" t="s">
        <v>272</v>
      </c>
      <c r="C33" s="25">
        <v>0.125</v>
      </c>
      <c r="D33" s="25">
        <v>0.3125</v>
      </c>
      <c r="E33" s="11">
        <f t="shared" ref="E33:E34" si="10">IF(D33&gt;C33,D33-C33,C33-D33)</f>
        <v>0.1875</v>
      </c>
      <c r="F33" s="11"/>
      <c r="G33" s="11"/>
      <c r="H33" s="11">
        <f>IF(G33&gt;F33,G33-F33,F33-G33)</f>
        <v>0</v>
      </c>
      <c r="I33" s="17"/>
      <c r="J33" s="17"/>
      <c r="K33" s="11">
        <f>IF(J33&gt;I33,J33-I33,I33-J33)</f>
        <v>0</v>
      </c>
      <c r="L33" s="11">
        <f t="shared" ref="L33:L34" si="11">E33+H33+K33</f>
        <v>0.1875</v>
      </c>
    </row>
    <row r="34" spans="1:12">
      <c r="A34" s="3" t="s">
        <v>273</v>
      </c>
      <c r="B34" s="10" t="s">
        <v>274</v>
      </c>
      <c r="C34" s="25">
        <v>0.29166666666666702</v>
      </c>
      <c r="D34" s="11">
        <v>0.5</v>
      </c>
      <c r="E34" s="11">
        <f t="shared" si="10"/>
        <v>0.20833333333333298</v>
      </c>
      <c r="F34" s="11">
        <v>0.54166666666666696</v>
      </c>
      <c r="G34" s="25">
        <v>0.70833333333333304</v>
      </c>
      <c r="H34" s="11">
        <f>IF(G34&gt;F34,G34-F34,F34-G34)</f>
        <v>0.16666666666666607</v>
      </c>
      <c r="I34" s="17"/>
      <c r="J34" s="17"/>
      <c r="K34" s="11">
        <f>IF(J33&gt;I33,J33-I33,I33-J33)</f>
        <v>0</v>
      </c>
      <c r="L34" s="11">
        <f t="shared" si="11"/>
        <v>0.37499999999999906</v>
      </c>
    </row>
    <row r="35" spans="1:12">
      <c r="E35" s="11">
        <f>SUM(E32:E34)</f>
        <v>0.5625</v>
      </c>
      <c r="H35" s="11">
        <f>SUM(H32:H34)</f>
        <v>0.41666666666666607</v>
      </c>
      <c r="K35" s="11">
        <f>SUM(K32:K34)</f>
        <v>0.16666666666666699</v>
      </c>
      <c r="L35" s="15">
        <f>SUM(L32:L34)</f>
        <v>1.1458333333333321</v>
      </c>
    </row>
    <row r="37" spans="1:12">
      <c r="C37" s="2" t="s">
        <v>269</v>
      </c>
      <c r="G37" s="31" t="s">
        <v>36</v>
      </c>
      <c r="H37" s="6">
        <f>+H29+1</f>
        <v>46248</v>
      </c>
    </row>
    <row r="38" spans="1:12">
      <c r="C38" s="168" t="s">
        <v>3</v>
      </c>
      <c r="D38" s="168"/>
      <c r="E38" s="168"/>
      <c r="F38" s="169" t="s">
        <v>4</v>
      </c>
      <c r="G38" s="169"/>
      <c r="H38" s="169"/>
      <c r="I38" s="170" t="s">
        <v>5</v>
      </c>
      <c r="J38" s="170"/>
      <c r="K38" s="170"/>
    </row>
    <row r="39" spans="1:12">
      <c r="B39" s="7" t="s">
        <v>6</v>
      </c>
      <c r="C39" s="8" t="s">
        <v>7</v>
      </c>
      <c r="D39" s="8" t="s">
        <v>8</v>
      </c>
      <c r="E39" s="8" t="s">
        <v>9</v>
      </c>
      <c r="F39" s="9" t="s">
        <v>7</v>
      </c>
      <c r="G39" s="9" t="s">
        <v>8</v>
      </c>
      <c r="H39" s="9" t="s">
        <v>9</v>
      </c>
      <c r="I39" s="16"/>
      <c r="J39" s="16"/>
      <c r="K39" s="16" t="s">
        <v>9</v>
      </c>
      <c r="L39" s="7" t="s">
        <v>10</v>
      </c>
    </row>
    <row r="40" spans="1:12">
      <c r="A40" s="3" t="s">
        <v>270</v>
      </c>
      <c r="B40" s="10" t="s">
        <v>71</v>
      </c>
      <c r="C40" s="25">
        <v>0.125</v>
      </c>
      <c r="D40" s="25">
        <v>0.3125</v>
      </c>
      <c r="E40" s="11">
        <f>IF(D40&gt;C40,D40-C40,C40-D40)</f>
        <v>0.1875</v>
      </c>
      <c r="F40" s="11"/>
      <c r="G40" s="11"/>
      <c r="H40" s="11">
        <f>IF(G40&gt;F40,G40-F40,F40-G40)</f>
        <v>0</v>
      </c>
      <c r="I40" s="17"/>
      <c r="J40" s="17"/>
      <c r="K40" s="11">
        <f>IF(J40&gt;I40,J40-I40,I40-J40)</f>
        <v>0</v>
      </c>
      <c r="L40" s="11">
        <f>E40+H40+K40</f>
        <v>0.1875</v>
      </c>
    </row>
    <row r="41" spans="1:12">
      <c r="A41" s="3" t="s">
        <v>271</v>
      </c>
      <c r="B41" s="10" t="s">
        <v>272</v>
      </c>
      <c r="C41" s="25">
        <v>0.33333333333333298</v>
      </c>
      <c r="D41" s="11">
        <v>0.5</v>
      </c>
      <c r="E41" s="11">
        <f t="shared" ref="E41:E42" si="12">IF(D41&gt;C41,D41-C41,C41-D41)</f>
        <v>0.16666666666666702</v>
      </c>
      <c r="F41" s="11">
        <v>0.5</v>
      </c>
      <c r="G41" s="11">
        <v>0.75</v>
      </c>
      <c r="H41" s="11">
        <f>IF(G41&gt;F41,G41-F41,F41-G41)</f>
        <v>0.25</v>
      </c>
      <c r="I41" s="17">
        <v>0.75</v>
      </c>
      <c r="J41" s="29">
        <v>0.91666666666666696</v>
      </c>
      <c r="K41" s="11">
        <f>IF(J41&gt;I41,J41-I41,I41-J40)</f>
        <v>0.16666666666666696</v>
      </c>
      <c r="L41" s="11">
        <f>E41+H41+K41</f>
        <v>0.58333333333333393</v>
      </c>
    </row>
    <row r="42" spans="1:12">
      <c r="A42" s="3" t="s">
        <v>273</v>
      </c>
      <c r="B42" s="10" t="s">
        <v>274</v>
      </c>
      <c r="C42" s="25">
        <v>0.29166666666666702</v>
      </c>
      <c r="D42" s="11">
        <v>0.5</v>
      </c>
      <c r="E42" s="11">
        <f t="shared" si="12"/>
        <v>0.20833333333333298</v>
      </c>
      <c r="F42" s="11">
        <v>0.54166666666666696</v>
      </c>
      <c r="G42" s="25">
        <v>0.70833333333333304</v>
      </c>
      <c r="H42" s="11">
        <f>IF(G42&gt;F42,G42-F42,F42-G42)</f>
        <v>0.16666666666666607</v>
      </c>
      <c r="I42" s="17"/>
      <c r="J42" s="17"/>
      <c r="K42" s="11">
        <f>IF(J41&gt;I41,J41-I41,I41-J41)</f>
        <v>0.16666666666666696</v>
      </c>
      <c r="L42" s="11">
        <f t="shared" ref="L42" si="13">E42+H42+K42</f>
        <v>0.54166666666666607</v>
      </c>
    </row>
    <row r="43" spans="1:12">
      <c r="E43" s="11">
        <f>SUM(E40:E42)</f>
        <v>0.5625</v>
      </c>
      <c r="H43" s="11">
        <f>SUM(H40:H42)</f>
        <v>0.41666666666666607</v>
      </c>
      <c r="K43" s="11">
        <f>SUM(K40:K42)</f>
        <v>0.33333333333333393</v>
      </c>
      <c r="L43" s="15">
        <f>SUM(L40:L42)</f>
        <v>1.3125</v>
      </c>
    </row>
    <row r="45" spans="1:12">
      <c r="C45" s="2" t="s">
        <v>269</v>
      </c>
      <c r="G45" s="31" t="s">
        <v>37</v>
      </c>
      <c r="H45" s="6">
        <f>+H37+1</f>
        <v>46249</v>
      </c>
    </row>
    <row r="46" spans="1:12">
      <c r="C46" s="168" t="s">
        <v>3</v>
      </c>
      <c r="D46" s="168"/>
      <c r="E46" s="168"/>
      <c r="F46" s="169" t="s">
        <v>4</v>
      </c>
      <c r="G46" s="169"/>
      <c r="H46" s="169"/>
      <c r="I46" s="170" t="s">
        <v>5</v>
      </c>
      <c r="J46" s="170"/>
      <c r="K46" s="170"/>
    </row>
    <row r="47" spans="1:12">
      <c r="B47" s="7" t="s">
        <v>6</v>
      </c>
      <c r="C47" s="8" t="s">
        <v>7</v>
      </c>
      <c r="D47" s="8" t="s">
        <v>8</v>
      </c>
      <c r="E47" s="8" t="s">
        <v>9</v>
      </c>
      <c r="F47" s="9" t="s">
        <v>7</v>
      </c>
      <c r="G47" s="9" t="s">
        <v>8</v>
      </c>
      <c r="H47" s="9" t="s">
        <v>9</v>
      </c>
      <c r="I47" s="16" t="s">
        <v>7</v>
      </c>
      <c r="J47" s="16" t="s">
        <v>8</v>
      </c>
      <c r="K47" s="16" t="s">
        <v>9</v>
      </c>
      <c r="L47" s="7" t="s">
        <v>10</v>
      </c>
    </row>
    <row r="48" spans="1:12">
      <c r="A48" s="3" t="s">
        <v>270</v>
      </c>
      <c r="B48" s="10" t="s">
        <v>71</v>
      </c>
      <c r="C48" s="25">
        <v>0.33333333333333298</v>
      </c>
      <c r="D48" s="11">
        <v>0.5</v>
      </c>
      <c r="E48" s="11">
        <f t="shared" ref="E48" si="14">IF(D48&gt;C48,D48-C48,C48-D48)</f>
        <v>0.16666666666666699</v>
      </c>
      <c r="F48" s="11">
        <v>0.5</v>
      </c>
      <c r="G48" s="11">
        <v>0.75</v>
      </c>
      <c r="H48" s="11">
        <f>IF(G48&gt;F48,G48-F48,F48-G48)</f>
        <v>0.25</v>
      </c>
      <c r="I48" s="17">
        <v>0.75</v>
      </c>
      <c r="J48" s="29">
        <v>0.91666666666666696</v>
      </c>
      <c r="K48" s="11">
        <f>IF(J48&gt;I48,J48-I48,I48-J47)</f>
        <v>0.16666666666666699</v>
      </c>
      <c r="L48" s="11">
        <f>E48+H48+K48</f>
        <v>0.58333333333333304</v>
      </c>
    </row>
    <row r="49" spans="1:14">
      <c r="A49" s="3" t="s">
        <v>271</v>
      </c>
      <c r="B49" s="10" t="s">
        <v>272</v>
      </c>
      <c r="C49" s="25">
        <v>0.125</v>
      </c>
      <c r="D49" s="25">
        <v>0.3125</v>
      </c>
      <c r="E49" s="11">
        <f t="shared" ref="E49:E50" si="15">IF(D49&gt;C49,D49-C49,C49-D49)</f>
        <v>0.1875</v>
      </c>
      <c r="F49" s="11"/>
      <c r="G49" s="11"/>
      <c r="H49" s="11">
        <f>IF(G49&gt;F49,G49-F49,F49-G49)</f>
        <v>0</v>
      </c>
      <c r="I49" s="17"/>
      <c r="J49" s="17"/>
      <c r="K49" s="11">
        <f>IF(J49&gt;I49,J49-I49,I49-J49)</f>
        <v>0</v>
      </c>
      <c r="L49" s="11">
        <f t="shared" ref="L49:L50" si="16">E49+H49+K49</f>
        <v>0.1875</v>
      </c>
    </row>
    <row r="50" spans="1:14">
      <c r="A50" s="3" t="s">
        <v>273</v>
      </c>
      <c r="B50" s="10" t="s">
        <v>274</v>
      </c>
      <c r="C50" s="25">
        <v>0.29166666666666702</v>
      </c>
      <c r="D50" s="11">
        <v>0.5</v>
      </c>
      <c r="E50" s="11">
        <f t="shared" si="15"/>
        <v>0.20833333333333298</v>
      </c>
      <c r="F50" s="11">
        <v>0.54166666666666696</v>
      </c>
      <c r="G50" s="25">
        <v>0.70833333333333304</v>
      </c>
      <c r="H50" s="11">
        <f>IF(G50&gt;F50,G50-F50,F50-G50)</f>
        <v>0.16666666666666607</v>
      </c>
      <c r="I50" s="17"/>
      <c r="J50" s="17"/>
      <c r="K50" s="11">
        <f>IF(J49&gt;I49,J49-I49,I49-J49)</f>
        <v>0</v>
      </c>
      <c r="L50" s="11">
        <f t="shared" si="16"/>
        <v>0.37499999999999906</v>
      </c>
    </row>
    <row r="51" spans="1:14">
      <c r="B51" s="13"/>
      <c r="C51" s="21"/>
      <c r="D51" s="21"/>
      <c r="E51" s="21">
        <f>SUM(E48:E50)</f>
        <v>0.5625</v>
      </c>
      <c r="F51" s="21"/>
      <c r="G51" s="21"/>
      <c r="H51" s="21">
        <f>SUM(H48:H50)</f>
        <v>0.41666666666666607</v>
      </c>
      <c r="I51" s="21"/>
      <c r="J51" s="21"/>
      <c r="K51" s="21">
        <f t="shared" ref="K51:L51" si="17">SUM(K48:K50)</f>
        <v>0.16666666666666699</v>
      </c>
      <c r="L51" s="15">
        <f t="shared" si="17"/>
        <v>1.1458333333333321</v>
      </c>
    </row>
    <row r="53" spans="1:14">
      <c r="C53" s="2" t="s">
        <v>269</v>
      </c>
      <c r="G53" s="31" t="s">
        <v>38</v>
      </c>
      <c r="H53" s="6">
        <f>+H45+1</f>
        <v>46250</v>
      </c>
    </row>
    <row r="54" spans="1:14">
      <c r="C54" s="168" t="s">
        <v>3</v>
      </c>
      <c r="D54" s="168"/>
      <c r="E54" s="168"/>
      <c r="F54" s="169" t="s">
        <v>4</v>
      </c>
      <c r="G54" s="169"/>
      <c r="H54" s="169"/>
      <c r="I54" s="170" t="s">
        <v>5</v>
      </c>
      <c r="J54" s="170"/>
      <c r="K54" s="170"/>
    </row>
    <row r="55" spans="1:14">
      <c r="B55" s="7" t="s">
        <v>6</v>
      </c>
      <c r="C55" s="8" t="s">
        <v>7</v>
      </c>
      <c r="D55" s="8" t="s">
        <v>8</v>
      </c>
      <c r="E55" s="8" t="s">
        <v>9</v>
      </c>
      <c r="F55" s="9" t="s">
        <v>7</v>
      </c>
      <c r="G55" s="9" t="s">
        <v>8</v>
      </c>
      <c r="H55" s="9" t="s">
        <v>9</v>
      </c>
      <c r="I55" s="16"/>
      <c r="J55" s="16"/>
      <c r="K55" s="16" t="s">
        <v>9</v>
      </c>
      <c r="L55" s="7" t="s">
        <v>10</v>
      </c>
    </row>
    <row r="56" spans="1:14" s="32" customFormat="1" ht="16.5" thickTop="1" thickBot="1">
      <c r="A56" s="33" t="s">
        <v>270</v>
      </c>
      <c r="B56" s="10" t="s">
        <v>71</v>
      </c>
      <c r="C56" s="25">
        <v>0.125</v>
      </c>
      <c r="D56" s="25">
        <v>0.3125</v>
      </c>
      <c r="E56" s="11">
        <f>IF(D56&gt;C56,D56-C56,C56-D56)</f>
        <v>0.1875</v>
      </c>
      <c r="F56" s="11"/>
      <c r="G56" s="11"/>
      <c r="H56" s="11">
        <f>IF(G56&gt;F56,G56-F56,F56-G56)</f>
        <v>0</v>
      </c>
      <c r="I56" s="17"/>
      <c r="J56" s="17"/>
      <c r="K56" s="11">
        <f>IF(J56&gt;I56,J56-I56,I56-J56)</f>
        <v>0</v>
      </c>
      <c r="L56" s="11">
        <f>E56+H56+K56</f>
        <v>0.1875</v>
      </c>
      <c r="M56"/>
    </row>
    <row r="57" spans="1:14" ht="17.25" thickTop="1" thickBot="1">
      <c r="A57" s="3" t="s">
        <v>271</v>
      </c>
      <c r="B57" s="10" t="s">
        <v>272</v>
      </c>
      <c r="C57" s="25">
        <v>0.33333333333333298</v>
      </c>
      <c r="D57" s="11">
        <v>0.5</v>
      </c>
      <c r="E57" s="11">
        <f t="shared" ref="E57:E58" si="18">IF(D57&gt;C57,D57-C57,C57-D57)</f>
        <v>0.16666666666666702</v>
      </c>
      <c r="F57" s="11">
        <v>0.5</v>
      </c>
      <c r="G57" s="11">
        <v>0.75</v>
      </c>
      <c r="H57" s="11">
        <f t="shared" ref="H57" si="19">IF(G57&gt;F57,G57-F57,F57-G57)</f>
        <v>0.25</v>
      </c>
      <c r="I57" s="17">
        <v>0.75</v>
      </c>
      <c r="J57" s="29">
        <v>0.91666666666666696</v>
      </c>
      <c r="K57" s="11">
        <f>IF(J57&gt;I57,J57-I57,I57-J56)</f>
        <v>0.16666666666666696</v>
      </c>
      <c r="L57" s="11">
        <f t="shared" ref="L57" si="20">E57+H57+K57</f>
        <v>0.58333333333333393</v>
      </c>
      <c r="M57" s="38" t="s">
        <v>25</v>
      </c>
      <c r="N57" s="39"/>
    </row>
    <row r="58" spans="1:14" ht="16.5" thickTop="1" thickBot="1">
      <c r="A58" s="3" t="s">
        <v>273</v>
      </c>
      <c r="B58" s="10" t="s">
        <v>274</v>
      </c>
      <c r="C58" s="40"/>
      <c r="D58" s="40"/>
      <c r="E58" s="40">
        <f t="shared" si="18"/>
        <v>0</v>
      </c>
      <c r="F58" s="40"/>
      <c r="G58" s="40"/>
      <c r="H58" s="40">
        <f>IF(G58&gt;F58,G58-F58,F58-G58)</f>
        <v>0</v>
      </c>
      <c r="I58" s="41"/>
      <c r="J58" s="41"/>
      <c r="K58" s="40">
        <f>IF(J58&gt;I58,J58-I58,I58-J58)</f>
        <v>0</v>
      </c>
      <c r="L58" s="42">
        <f>E58+H58+K58</f>
        <v>0</v>
      </c>
      <c r="M58" s="32" t="s">
        <v>25</v>
      </c>
    </row>
    <row r="59" spans="1:14">
      <c r="E59" s="11">
        <f>SUM(E56:E58)</f>
        <v>0.35416666666666702</v>
      </c>
      <c r="H59" s="11">
        <f>SUM(H56:H58)</f>
        <v>0.25</v>
      </c>
      <c r="K59" s="11">
        <f>SUM(K56:K58)</f>
        <v>0.16666666666666696</v>
      </c>
      <c r="L59" s="15">
        <f>SUM(L56:L58)</f>
        <v>0.77083333333333393</v>
      </c>
    </row>
    <row r="62" spans="1:14">
      <c r="A62" s="3" t="s">
        <v>270</v>
      </c>
      <c r="B62" s="10" t="s">
        <v>71</v>
      </c>
      <c r="C62" s="21">
        <f>+L8+L16+L24+L32+L40+L48+L56</f>
        <v>2.5</v>
      </c>
    </row>
    <row r="63" spans="1:14">
      <c r="A63" s="3" t="s">
        <v>271</v>
      </c>
      <c r="B63" s="10" t="s">
        <v>272</v>
      </c>
      <c r="C63" s="21">
        <f>+L9+L17+L25+L33+L41+L49+L58</f>
        <v>2.3125000000000018</v>
      </c>
    </row>
    <row r="64" spans="1:14">
      <c r="A64" s="3" t="s">
        <v>273</v>
      </c>
      <c r="B64" s="10" t="s">
        <v>274</v>
      </c>
      <c r="C64" s="21" t="e">
        <f>+L10+L18+L26+L34+L42+L50+#REF!</f>
        <v>#REF!</v>
      </c>
    </row>
  </sheetData>
  <mergeCells count="22">
    <mergeCell ref="C6:E6"/>
    <mergeCell ref="F6:H6"/>
    <mergeCell ref="I6:K6"/>
    <mergeCell ref="C14:E14"/>
    <mergeCell ref="F14:H14"/>
    <mergeCell ref="I14:K14"/>
    <mergeCell ref="C54:E54"/>
    <mergeCell ref="F54:H54"/>
    <mergeCell ref="I54:K54"/>
    <mergeCell ref="E2:I3"/>
    <mergeCell ref="C38:E38"/>
    <mergeCell ref="F38:H38"/>
    <mergeCell ref="I38:K38"/>
    <mergeCell ref="C46:E46"/>
    <mergeCell ref="F46:H46"/>
    <mergeCell ref="I46:K46"/>
    <mergeCell ref="C22:E22"/>
    <mergeCell ref="F22:H22"/>
    <mergeCell ref="I22:K22"/>
    <mergeCell ref="C30:E30"/>
    <mergeCell ref="F30:H30"/>
    <mergeCell ref="I30:K30"/>
  </mergeCells>
  <pageMargins left="0.7" right="0.7" top="0.75" bottom="0.28999999999999998" header="0.3" footer="0.3"/>
  <pageSetup paperSize="9" fitToHeight="0" orientation="landscape" verticalDpi="12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pageSetUpPr fitToPage="1"/>
  </sheetPr>
  <dimension ref="A2:L71"/>
  <sheetViews>
    <sheetView workbookViewId="0">
      <selection activeCell="A5" sqref="A5:L12"/>
    </sheetView>
  </sheetViews>
  <sheetFormatPr defaultColWidth="11" defaultRowHeight="15"/>
  <cols>
    <col min="1" max="1" width="11.5703125" style="3"/>
  </cols>
  <sheetData>
    <row r="2" spans="1:12">
      <c r="E2" s="171" t="s">
        <v>332</v>
      </c>
      <c r="F2" s="171"/>
      <c r="G2" s="171"/>
      <c r="H2" s="171"/>
      <c r="I2" s="171"/>
    </row>
    <row r="3" spans="1:12">
      <c r="E3" s="171"/>
      <c r="F3" s="171"/>
      <c r="G3" s="171"/>
      <c r="H3" s="171"/>
      <c r="I3" s="171"/>
    </row>
    <row r="5" spans="1:12">
      <c r="C5" s="2" t="s">
        <v>275</v>
      </c>
      <c r="G5" s="31" t="s">
        <v>39</v>
      </c>
      <c r="H5" s="6">
        <f>+CHAUFFEUR!H5</f>
        <v>46244</v>
      </c>
    </row>
    <row r="6" spans="1:12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2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2">
      <c r="A8" s="3" t="s">
        <v>276</v>
      </c>
      <c r="B8" s="10" t="s">
        <v>277</v>
      </c>
      <c r="C8" s="25">
        <v>0.33333333333333298</v>
      </c>
      <c r="D8" s="11">
        <v>0.5</v>
      </c>
      <c r="E8" s="11">
        <f>IF(D8&gt;C8,D8-C8,C8-D8)</f>
        <v>0.16666666666666699</v>
      </c>
      <c r="F8" s="11">
        <v>0.54166666666666696</v>
      </c>
      <c r="G8" s="25">
        <v>0.70833333333333304</v>
      </c>
      <c r="H8" s="11">
        <f>IF(G8&gt;F8,G8-F8,F8-G8)</f>
        <v>0.16666666666666699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2">
      <c r="A9" s="3" t="s">
        <v>278</v>
      </c>
      <c r="B9" s="10" t="s">
        <v>279</v>
      </c>
      <c r="C9" s="25">
        <v>0.33333333333333298</v>
      </c>
      <c r="D9" s="11">
        <v>0.5</v>
      </c>
      <c r="E9" s="11">
        <f>IF(D9&gt;C9,D9-C9,C9-D9)</f>
        <v>0.16666666666666699</v>
      </c>
      <c r="F9" s="11">
        <v>0.58333333333333304</v>
      </c>
      <c r="G9" s="25">
        <v>0.75</v>
      </c>
      <c r="H9" s="11">
        <f>IF(G9&gt;F9,G9-F9,F9-G9)</f>
        <v>0.16666666666666699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2">
      <c r="A10" s="3" t="s">
        <v>280</v>
      </c>
      <c r="B10" s="10" t="s">
        <v>281</v>
      </c>
      <c r="C10" s="25">
        <v>0.33333333333333298</v>
      </c>
      <c r="D10" s="11">
        <v>0.5</v>
      </c>
      <c r="E10" s="11">
        <f>IF(D10&gt;C10,D10-C10,C10-D10)</f>
        <v>0.16666666666666699</v>
      </c>
      <c r="F10" s="11">
        <v>0.54166666666666696</v>
      </c>
      <c r="G10" s="25">
        <v>0.70833333333333304</v>
      </c>
      <c r="H10" s="11">
        <f>IF(G10&gt;F10,G10-F10,F10-G10)</f>
        <v>0.16666666666666699</v>
      </c>
      <c r="I10" s="17"/>
      <c r="J10" s="17"/>
      <c r="K10" s="11">
        <f>IF(J10&gt;I10,J10-I10,I10-J10)</f>
        <v>0</v>
      </c>
      <c r="L10" s="11">
        <f>E10+H10+K10</f>
        <v>0.33333333333333298</v>
      </c>
    </row>
    <row r="11" spans="1:12">
      <c r="A11" s="3" t="s">
        <v>282</v>
      </c>
      <c r="B11" s="10" t="s">
        <v>283</v>
      </c>
      <c r="C11" s="25">
        <v>0.33333333333333298</v>
      </c>
      <c r="D11" s="11">
        <v>0.5</v>
      </c>
      <c r="E11" s="11">
        <f>IF(D11&gt;C11,D11-C11,C11-D11)</f>
        <v>0.16666666666666699</v>
      </c>
      <c r="F11" s="11">
        <v>0.54166666666666696</v>
      </c>
      <c r="G11" s="25">
        <v>0.70833333333333304</v>
      </c>
      <c r="H11" s="11">
        <f>IF(G11&gt;F11,G11-F11,F11-G11)</f>
        <v>0.16666666666666699</v>
      </c>
      <c r="I11" s="17"/>
      <c r="J11" s="17"/>
      <c r="K11" s="11">
        <f>IF(J11&gt;I11,J11-I11,I11-J11)</f>
        <v>0</v>
      </c>
      <c r="L11" s="11">
        <f>E11+H11+K11</f>
        <v>0.33333333333333298</v>
      </c>
    </row>
    <row r="12" spans="1:12">
      <c r="E12" s="11">
        <f>SUM(E8:E11)</f>
        <v>0.66666666666666696</v>
      </c>
      <c r="H12" s="11">
        <f>SUM(H8:H11)</f>
        <v>0.66666666666666696</v>
      </c>
      <c r="K12" s="11">
        <f>SUM(K8:K11)</f>
        <v>0</v>
      </c>
      <c r="L12" s="15">
        <f>SUM(L8:L11)</f>
        <v>1.3333333333333299</v>
      </c>
    </row>
    <row r="14" spans="1:12">
      <c r="C14" s="2" t="s">
        <v>275</v>
      </c>
      <c r="G14" s="31" t="s">
        <v>32</v>
      </c>
      <c r="H14" s="6">
        <f>+H5+1</f>
        <v>46245</v>
      </c>
    </row>
    <row r="15" spans="1:12">
      <c r="C15" s="168" t="s">
        <v>3</v>
      </c>
      <c r="D15" s="168"/>
      <c r="E15" s="168"/>
      <c r="F15" s="169" t="s">
        <v>4</v>
      </c>
      <c r="G15" s="169"/>
      <c r="H15" s="169"/>
      <c r="I15" s="170" t="s">
        <v>5</v>
      </c>
      <c r="J15" s="170"/>
      <c r="K15" s="170"/>
    </row>
    <row r="16" spans="1:12">
      <c r="B16" s="7" t="s">
        <v>6</v>
      </c>
      <c r="C16" s="8" t="s">
        <v>7</v>
      </c>
      <c r="D16" s="8" t="s">
        <v>8</v>
      </c>
      <c r="E16" s="8" t="s">
        <v>9</v>
      </c>
      <c r="F16" s="9" t="s">
        <v>7</v>
      </c>
      <c r="G16" s="9" t="s">
        <v>8</v>
      </c>
      <c r="H16" s="9" t="s">
        <v>9</v>
      </c>
      <c r="I16" s="16" t="s">
        <v>7</v>
      </c>
      <c r="J16" s="16" t="s">
        <v>8</v>
      </c>
      <c r="K16" s="16" t="s">
        <v>9</v>
      </c>
      <c r="L16" s="7" t="s">
        <v>10</v>
      </c>
    </row>
    <row r="17" spans="1:12">
      <c r="A17" s="3" t="s">
        <v>276</v>
      </c>
      <c r="B17" s="10" t="s">
        <v>277</v>
      </c>
      <c r="C17" s="25">
        <v>0.33333333333333298</v>
      </c>
      <c r="D17" s="11">
        <v>0.5</v>
      </c>
      <c r="E17" s="11">
        <f t="shared" ref="E17:E20" si="0">IF(D17&gt;C17,D17-C17,C17-D17)</f>
        <v>0.16666666666666699</v>
      </c>
      <c r="F17" s="11">
        <v>0.54166666666666696</v>
      </c>
      <c r="G17" s="25">
        <v>0.70833333333333304</v>
      </c>
      <c r="H17" s="11">
        <f>IF(G17&gt;F17,G17-F17,F17-G17)</f>
        <v>0.16666666666666699</v>
      </c>
      <c r="I17" s="17"/>
      <c r="J17" s="17"/>
      <c r="K17" s="11">
        <f>IF(J17&gt;I17,J17-I17,I17-J17)</f>
        <v>0</v>
      </c>
      <c r="L17" s="11">
        <f>E17+H17+K17</f>
        <v>0.33333333333333298</v>
      </c>
    </row>
    <row r="18" spans="1:12">
      <c r="A18" s="3" t="s">
        <v>278</v>
      </c>
      <c r="B18" s="10" t="s">
        <v>279</v>
      </c>
      <c r="C18" s="25">
        <v>0.33333333333333298</v>
      </c>
      <c r="D18" s="11">
        <v>0.5</v>
      </c>
      <c r="E18" s="11">
        <f t="shared" si="0"/>
        <v>0.16666666666666699</v>
      </c>
      <c r="F18" s="11">
        <v>0.58333333333333304</v>
      </c>
      <c r="G18" s="25">
        <v>0.75</v>
      </c>
      <c r="H18" s="11">
        <f>IF(G18&gt;F18,G18-F18,F18-G18)</f>
        <v>0.16666666666666699</v>
      </c>
      <c r="I18" s="17"/>
      <c r="J18" s="17"/>
      <c r="K18" s="11">
        <f>IF(J18&gt;I18,J18-I18,I18-J18)</f>
        <v>0</v>
      </c>
      <c r="L18" s="11">
        <f>E18+H18+K18</f>
        <v>0.33333333333333298</v>
      </c>
    </row>
    <row r="19" spans="1:12">
      <c r="A19" s="3" t="s">
        <v>280</v>
      </c>
      <c r="B19" s="10" t="s">
        <v>281</v>
      </c>
      <c r="C19" s="11">
        <v>0.33333333333333298</v>
      </c>
      <c r="D19" s="11">
        <v>0.5</v>
      </c>
      <c r="E19" s="11">
        <f t="shared" si="0"/>
        <v>0.16666666666666699</v>
      </c>
      <c r="F19" s="11">
        <v>0.54166666666666696</v>
      </c>
      <c r="G19" s="11">
        <v>0.70833333333333304</v>
      </c>
      <c r="H19" s="11">
        <f t="shared" ref="H19:H20" si="1">IF(G19&gt;F19,G19-F19,F19-G19)</f>
        <v>0.16666666666666699</v>
      </c>
      <c r="I19" s="17"/>
      <c r="J19" s="17"/>
      <c r="K19" s="11">
        <f t="shared" ref="K19:K20" si="2">IF(J19&gt;I19,J19-I19,I19-J19)</f>
        <v>0</v>
      </c>
      <c r="L19" s="11">
        <f t="shared" ref="L19:L20" si="3">E19+H19+K19</f>
        <v>0.33333333333333298</v>
      </c>
    </row>
    <row r="20" spans="1:12">
      <c r="A20" s="3" t="s">
        <v>282</v>
      </c>
      <c r="B20" s="10" t="s">
        <v>283</v>
      </c>
      <c r="C20" s="11">
        <v>0.33333333333333298</v>
      </c>
      <c r="D20" s="11">
        <v>0.5</v>
      </c>
      <c r="E20" s="11">
        <f t="shared" si="0"/>
        <v>0.16666666666666699</v>
      </c>
      <c r="F20" s="11">
        <v>0.54166666666666696</v>
      </c>
      <c r="G20" s="11">
        <v>0.70833333333333304</v>
      </c>
      <c r="H20" s="11">
        <f t="shared" si="1"/>
        <v>0.16666666666666699</v>
      </c>
      <c r="I20" s="17"/>
      <c r="J20" s="17"/>
      <c r="K20" s="11">
        <f t="shared" si="2"/>
        <v>0</v>
      </c>
      <c r="L20" s="11">
        <f t="shared" si="3"/>
        <v>0.33333333333333298</v>
      </c>
    </row>
    <row r="21" spans="1:12">
      <c r="E21" s="11">
        <f>SUM(E17:E20)</f>
        <v>0.66666666666666696</v>
      </c>
      <c r="H21" s="11">
        <f>SUM(H17:H20)</f>
        <v>0.66666666666666696</v>
      </c>
      <c r="K21" s="11">
        <f>SUM(K17:K20)</f>
        <v>0</v>
      </c>
      <c r="L21" s="15">
        <f>SUM(L17:L20)</f>
        <v>1.3333333333333299</v>
      </c>
    </row>
    <row r="23" spans="1:12">
      <c r="C23" s="2" t="s">
        <v>275</v>
      </c>
      <c r="G23" s="31" t="s">
        <v>34</v>
      </c>
      <c r="H23" s="6">
        <f>+H14+1</f>
        <v>46246</v>
      </c>
    </row>
    <row r="24" spans="1:12">
      <c r="C24" s="168" t="s">
        <v>3</v>
      </c>
      <c r="D24" s="168"/>
      <c r="E24" s="168"/>
      <c r="F24" s="169" t="s">
        <v>4</v>
      </c>
      <c r="G24" s="169"/>
      <c r="H24" s="169"/>
      <c r="I24" s="170" t="s">
        <v>5</v>
      </c>
      <c r="J24" s="170"/>
      <c r="K24" s="170"/>
    </row>
    <row r="25" spans="1:12">
      <c r="B25" s="7" t="s">
        <v>6</v>
      </c>
      <c r="C25" s="8" t="s">
        <v>7</v>
      </c>
      <c r="D25" s="8" t="s">
        <v>8</v>
      </c>
      <c r="E25" s="8" t="s">
        <v>9</v>
      </c>
      <c r="F25" s="9" t="s">
        <v>7</v>
      </c>
      <c r="G25" s="9" t="s">
        <v>8</v>
      </c>
      <c r="H25" s="9" t="s">
        <v>9</v>
      </c>
      <c r="I25" s="16" t="s">
        <v>7</v>
      </c>
      <c r="J25" s="16" t="s">
        <v>8</v>
      </c>
      <c r="K25" s="16" t="s">
        <v>9</v>
      </c>
      <c r="L25" s="7" t="s">
        <v>10</v>
      </c>
    </row>
    <row r="26" spans="1:12">
      <c r="A26" s="3" t="s">
        <v>276</v>
      </c>
      <c r="B26" s="10" t="s">
        <v>277</v>
      </c>
      <c r="C26" s="25">
        <v>0.33333333333333298</v>
      </c>
      <c r="D26" s="11">
        <v>0.5</v>
      </c>
      <c r="E26" s="11">
        <f t="shared" ref="E26:E29" si="4">IF(D26&gt;C26,D26-C26,C26-D26)</f>
        <v>0.16666666666666699</v>
      </c>
      <c r="F26" s="11">
        <v>0.54166666666666696</v>
      </c>
      <c r="G26" s="25">
        <v>0.70833333333333304</v>
      </c>
      <c r="H26" s="11">
        <f>IF(G26&gt;F26,G26-F26,F26-G26)</f>
        <v>0.16666666666666699</v>
      </c>
      <c r="I26" s="17"/>
      <c r="J26" s="17"/>
      <c r="K26" s="11">
        <f>IF(J26&gt;I26,J26-I26,I26-J26)</f>
        <v>0</v>
      </c>
      <c r="L26" s="11">
        <f>E26+H26+K26</f>
        <v>0.33333333333333298</v>
      </c>
    </row>
    <row r="27" spans="1:12">
      <c r="A27" s="3" t="s">
        <v>278</v>
      </c>
      <c r="B27" s="10" t="s">
        <v>279</v>
      </c>
      <c r="C27" s="25">
        <v>0.33333333333333298</v>
      </c>
      <c r="D27" s="11">
        <v>0.5</v>
      </c>
      <c r="E27" s="11">
        <f t="shared" si="4"/>
        <v>0.16666666666666699</v>
      </c>
      <c r="F27" s="11">
        <v>0.58333333333333304</v>
      </c>
      <c r="G27" s="25">
        <v>0.75</v>
      </c>
      <c r="H27" s="11">
        <f>IF(G27&gt;F27,G27-F27,F27-G27)</f>
        <v>0.16666666666666699</v>
      </c>
      <c r="I27" s="17"/>
      <c r="J27" s="17"/>
      <c r="K27" s="11">
        <f>IF(J27&gt;I27,J27-I27,I27-J27)</f>
        <v>0</v>
      </c>
      <c r="L27" s="11">
        <f>E27+H27+K27</f>
        <v>0.33333333333333298</v>
      </c>
    </row>
    <row r="28" spans="1:12">
      <c r="A28" s="3" t="s">
        <v>280</v>
      </c>
      <c r="B28" s="10" t="s">
        <v>281</v>
      </c>
      <c r="C28" s="25">
        <v>0.33333333333333298</v>
      </c>
      <c r="D28" s="11">
        <v>0.5</v>
      </c>
      <c r="E28" s="11">
        <f t="shared" si="4"/>
        <v>0.16666666666666699</v>
      </c>
      <c r="F28" s="11">
        <v>0.54166666666666696</v>
      </c>
      <c r="G28" s="25">
        <v>0.70833333333333304</v>
      </c>
      <c r="H28" s="11">
        <f t="shared" ref="H28:H29" si="5">IF(G28&gt;F28,G28-F28,F28-G28)</f>
        <v>0.16666666666666699</v>
      </c>
      <c r="I28" s="17"/>
      <c r="J28" s="17"/>
      <c r="K28" s="11">
        <f t="shared" ref="K28:K29" si="6">IF(J28&gt;I28,J28-I28,I28-J28)</f>
        <v>0</v>
      </c>
      <c r="L28" s="11">
        <f t="shared" ref="L28:L29" si="7">E28+H28+K28</f>
        <v>0.33333333333333298</v>
      </c>
    </row>
    <row r="29" spans="1:12">
      <c r="A29" s="3" t="s">
        <v>282</v>
      </c>
      <c r="B29" s="10" t="s">
        <v>283</v>
      </c>
      <c r="C29" s="25">
        <v>0.33333333333333298</v>
      </c>
      <c r="D29" s="11">
        <v>0.5</v>
      </c>
      <c r="E29" s="11">
        <f t="shared" si="4"/>
        <v>0.16666666666666699</v>
      </c>
      <c r="F29" s="11">
        <v>0.54166666666666696</v>
      </c>
      <c r="G29" s="25">
        <v>0.70833333333333304</v>
      </c>
      <c r="H29" s="11">
        <f t="shared" si="5"/>
        <v>0.16666666666666699</v>
      </c>
      <c r="I29" s="17"/>
      <c r="J29" s="17"/>
      <c r="K29" s="11">
        <f t="shared" si="6"/>
        <v>0</v>
      </c>
      <c r="L29" s="11">
        <f t="shared" si="7"/>
        <v>0.33333333333333298</v>
      </c>
    </row>
    <row r="30" spans="1:12">
      <c r="E30" s="11">
        <f>SUM(E26:E29)</f>
        <v>0.66666666666666696</v>
      </c>
      <c r="H30" s="11">
        <f>SUM(H26:H29)</f>
        <v>0.66666666666666696</v>
      </c>
      <c r="K30" s="11">
        <f>SUM(K26:K29)</f>
        <v>0</v>
      </c>
      <c r="L30" s="15">
        <f>SUM(L26:L29)</f>
        <v>1.3333333333333299</v>
      </c>
    </row>
    <row r="32" spans="1:12">
      <c r="C32" s="2" t="s">
        <v>275</v>
      </c>
      <c r="G32" s="31" t="s">
        <v>35</v>
      </c>
      <c r="H32" s="6">
        <f>+H23+1</f>
        <v>46247</v>
      </c>
    </row>
    <row r="33" spans="1:12">
      <c r="C33" s="168" t="s">
        <v>3</v>
      </c>
      <c r="D33" s="168"/>
      <c r="E33" s="168"/>
      <c r="F33" s="169" t="s">
        <v>4</v>
      </c>
      <c r="G33" s="169"/>
      <c r="H33" s="169"/>
      <c r="I33" s="170" t="s">
        <v>5</v>
      </c>
      <c r="J33" s="170"/>
      <c r="K33" s="170"/>
    </row>
    <row r="34" spans="1:12">
      <c r="B34" s="7" t="s">
        <v>6</v>
      </c>
      <c r="C34" s="8" t="s">
        <v>7</v>
      </c>
      <c r="D34" s="8" t="s">
        <v>8</v>
      </c>
      <c r="E34" s="8" t="s">
        <v>9</v>
      </c>
      <c r="F34" s="9" t="s">
        <v>7</v>
      </c>
      <c r="G34" s="9" t="s">
        <v>8</v>
      </c>
      <c r="H34" s="9" t="s">
        <v>9</v>
      </c>
      <c r="I34" s="16" t="s">
        <v>7</v>
      </c>
      <c r="J34" s="16" t="s">
        <v>8</v>
      </c>
      <c r="K34" s="16" t="s">
        <v>9</v>
      </c>
      <c r="L34" s="7" t="s">
        <v>10</v>
      </c>
    </row>
    <row r="35" spans="1:12">
      <c r="A35" s="3" t="s">
        <v>276</v>
      </c>
      <c r="B35" s="10" t="s">
        <v>277</v>
      </c>
      <c r="C35" s="25">
        <v>0.33333333333333298</v>
      </c>
      <c r="D35" s="11">
        <v>0.5</v>
      </c>
      <c r="E35" s="11">
        <f t="shared" ref="E35:E38" si="8">IF(D35&gt;C35,D35-C35,C35-D35)</f>
        <v>0.16666666666666699</v>
      </c>
      <c r="F35" s="11">
        <v>0.54166666666666696</v>
      </c>
      <c r="G35" s="25">
        <v>0.70833333333333304</v>
      </c>
      <c r="H35" s="11">
        <f>IF(G35&gt;F35,G35-F35,F35-G35)</f>
        <v>0.16666666666666699</v>
      </c>
      <c r="I35" s="17"/>
      <c r="J35" s="17"/>
      <c r="K35" s="11">
        <f>IF(J35&gt;I35,J35-I35,I35-J35)</f>
        <v>0</v>
      </c>
      <c r="L35" s="11">
        <f>E35+H35+K35</f>
        <v>0.33333333333333298</v>
      </c>
    </row>
    <row r="36" spans="1:12">
      <c r="A36" s="3" t="s">
        <v>278</v>
      </c>
      <c r="B36" s="10" t="s">
        <v>279</v>
      </c>
      <c r="C36" s="25">
        <v>0.33333333333333298</v>
      </c>
      <c r="D36" s="11">
        <v>0.5</v>
      </c>
      <c r="E36" s="11">
        <f t="shared" si="8"/>
        <v>0.16666666666666699</v>
      </c>
      <c r="F36" s="11">
        <v>0.58333333333333304</v>
      </c>
      <c r="G36" s="25">
        <v>0.75</v>
      </c>
      <c r="H36" s="11">
        <f>IF(G36&gt;F36,G36-F36,F36-G36)</f>
        <v>0.16666666666666699</v>
      </c>
      <c r="I36" s="17"/>
      <c r="J36" s="17"/>
      <c r="K36" s="11">
        <f>IF(J36&gt;I36,J36-I36,I36-J36)</f>
        <v>0</v>
      </c>
      <c r="L36" s="11">
        <f>E36+H36+K36</f>
        <v>0.33333333333333298</v>
      </c>
    </row>
    <row r="37" spans="1:12">
      <c r="A37" s="3" t="s">
        <v>280</v>
      </c>
      <c r="B37" s="10" t="s">
        <v>281</v>
      </c>
      <c r="C37" s="25">
        <v>0.33333333333333298</v>
      </c>
      <c r="D37" s="11">
        <v>0.5</v>
      </c>
      <c r="E37" s="11">
        <f t="shared" si="8"/>
        <v>0.16666666666666699</v>
      </c>
      <c r="F37" s="11">
        <v>0.54166666666666696</v>
      </c>
      <c r="G37" s="25">
        <v>0.70833333333333304</v>
      </c>
      <c r="H37" s="11">
        <f t="shared" ref="H37:H38" si="9">IF(G37&gt;F37,G37-F37,F37-G37)</f>
        <v>0.16666666666666699</v>
      </c>
      <c r="I37" s="17"/>
      <c r="J37" s="17"/>
      <c r="K37" s="11">
        <f t="shared" ref="K37:K38" si="10">IF(J37&gt;I37,J37-I37,I37-J37)</f>
        <v>0</v>
      </c>
      <c r="L37" s="11">
        <f t="shared" ref="L37:L38" si="11">E37+H37+K37</f>
        <v>0.33333333333333298</v>
      </c>
    </row>
    <row r="38" spans="1:12">
      <c r="A38" s="3" t="s">
        <v>282</v>
      </c>
      <c r="B38" s="10" t="s">
        <v>283</v>
      </c>
      <c r="C38" s="25">
        <v>0.33333333333333298</v>
      </c>
      <c r="D38" s="11">
        <v>0.5</v>
      </c>
      <c r="E38" s="11">
        <f t="shared" si="8"/>
        <v>0.16666666666666699</v>
      </c>
      <c r="F38" s="11">
        <v>0.54166666666666696</v>
      </c>
      <c r="G38" s="25">
        <v>0.70833333333333304</v>
      </c>
      <c r="H38" s="11">
        <f t="shared" si="9"/>
        <v>0.16666666666666699</v>
      </c>
      <c r="I38" s="17"/>
      <c r="J38" s="17"/>
      <c r="K38" s="11">
        <f t="shared" si="10"/>
        <v>0</v>
      </c>
      <c r="L38" s="11">
        <f t="shared" si="11"/>
        <v>0.33333333333333298</v>
      </c>
    </row>
    <row r="39" spans="1:12">
      <c r="E39" s="11">
        <f>SUM(E35:E38)</f>
        <v>0.66666666666666696</v>
      </c>
      <c r="H39" s="11">
        <f>SUM(H35:H38)</f>
        <v>0.66666666666666696</v>
      </c>
      <c r="K39" s="11">
        <f>SUM(K35:K38)</f>
        <v>0</v>
      </c>
      <c r="L39" s="15">
        <f>SUM(L35:L38)</f>
        <v>1.3333333333333299</v>
      </c>
    </row>
    <row r="41" spans="1:12">
      <c r="C41" s="2" t="s">
        <v>275</v>
      </c>
      <c r="G41" s="31" t="s">
        <v>36</v>
      </c>
      <c r="H41" s="6">
        <f>+H32+1</f>
        <v>46248</v>
      </c>
    </row>
    <row r="42" spans="1:12">
      <c r="C42" s="168" t="s">
        <v>3</v>
      </c>
      <c r="D42" s="168"/>
      <c r="E42" s="168"/>
      <c r="F42" s="169" t="s">
        <v>4</v>
      </c>
      <c r="G42" s="169"/>
      <c r="H42" s="169"/>
      <c r="I42" s="170" t="s">
        <v>5</v>
      </c>
      <c r="J42" s="170"/>
      <c r="K42" s="170"/>
    </row>
    <row r="43" spans="1:12">
      <c r="B43" s="7" t="s">
        <v>6</v>
      </c>
      <c r="C43" s="8" t="s">
        <v>7</v>
      </c>
      <c r="D43" s="8" t="s">
        <v>8</v>
      </c>
      <c r="E43" s="8" t="s">
        <v>9</v>
      </c>
      <c r="F43" s="9" t="s">
        <v>7</v>
      </c>
      <c r="G43" s="9" t="s">
        <v>8</v>
      </c>
      <c r="H43" s="9" t="s">
        <v>9</v>
      </c>
      <c r="I43" s="16" t="s">
        <v>7</v>
      </c>
      <c r="J43" s="16" t="s">
        <v>8</v>
      </c>
      <c r="K43" s="16" t="s">
        <v>9</v>
      </c>
      <c r="L43" s="7" t="s">
        <v>10</v>
      </c>
    </row>
    <row r="44" spans="1:12">
      <c r="A44" s="3" t="s">
        <v>276</v>
      </c>
      <c r="B44" s="10" t="s">
        <v>277</v>
      </c>
      <c r="C44" s="25">
        <v>0.33333333333333298</v>
      </c>
      <c r="D44" s="11">
        <v>0.5</v>
      </c>
      <c r="E44" s="11">
        <f t="shared" ref="E44:E47" si="12">IF(D44&gt;C44,D44-C44,C44-D44)</f>
        <v>0.16666666666666699</v>
      </c>
      <c r="F44" s="11">
        <v>0.54166666666666696</v>
      </c>
      <c r="G44" s="25">
        <v>0.70833333333333304</v>
      </c>
      <c r="H44" s="11">
        <f>IF(G44&gt;F44,G44-F44,F44-G44)</f>
        <v>0.16666666666666699</v>
      </c>
      <c r="I44" s="17"/>
      <c r="J44" s="17"/>
      <c r="K44" s="11">
        <f>IF(J44&gt;I44,J44-I44,I44-J44)</f>
        <v>0</v>
      </c>
      <c r="L44" s="11">
        <f>E44+H44+K44</f>
        <v>0.33333333333333298</v>
      </c>
    </row>
    <row r="45" spans="1:12">
      <c r="A45" s="3" t="s">
        <v>278</v>
      </c>
      <c r="B45" s="10" t="s">
        <v>279</v>
      </c>
      <c r="C45" s="25">
        <v>0.33333333333333298</v>
      </c>
      <c r="D45" s="11">
        <v>0.5</v>
      </c>
      <c r="E45" s="11">
        <f t="shared" si="12"/>
        <v>0.16666666666666699</v>
      </c>
      <c r="F45" s="11">
        <v>0.58333333333333304</v>
      </c>
      <c r="G45" s="25">
        <v>0.75</v>
      </c>
      <c r="H45" s="11">
        <f>IF(G45&gt;F45,G45-F45,F45-G45)</f>
        <v>0.16666666666666699</v>
      </c>
      <c r="I45" s="17"/>
      <c r="J45" s="17"/>
      <c r="K45" s="11">
        <f>IF(J45&gt;I45,J45-I45,I45-J45)</f>
        <v>0</v>
      </c>
      <c r="L45" s="11">
        <f>E45+H45+K45</f>
        <v>0.33333333333333298</v>
      </c>
    </row>
    <row r="46" spans="1:12">
      <c r="A46" s="3" t="s">
        <v>280</v>
      </c>
      <c r="B46" s="10" t="s">
        <v>281</v>
      </c>
      <c r="C46" s="25">
        <v>0.33333333333333298</v>
      </c>
      <c r="D46" s="11">
        <v>0.5</v>
      </c>
      <c r="E46" s="11">
        <f t="shared" si="12"/>
        <v>0.16666666666666699</v>
      </c>
      <c r="F46" s="11">
        <v>0.54166666666666696</v>
      </c>
      <c r="G46" s="25">
        <v>0.70833333333333304</v>
      </c>
      <c r="H46" s="11">
        <f t="shared" ref="H46:H47" si="13">IF(G46&gt;F46,G46-F46,F46-G46)</f>
        <v>0.16666666666666699</v>
      </c>
      <c r="I46" s="17"/>
      <c r="J46" s="17"/>
      <c r="K46" s="11">
        <f t="shared" ref="K46:K47" si="14">IF(J46&gt;I46,J46-I46,I46-J46)</f>
        <v>0</v>
      </c>
      <c r="L46" s="11">
        <f t="shared" ref="L46:L47" si="15">E46+H46+K46</f>
        <v>0.33333333333333298</v>
      </c>
    </row>
    <row r="47" spans="1:12">
      <c r="A47" s="3" t="s">
        <v>282</v>
      </c>
      <c r="B47" s="10" t="s">
        <v>283</v>
      </c>
      <c r="C47" s="25">
        <v>0.33333333333333298</v>
      </c>
      <c r="D47" s="11">
        <v>0.5</v>
      </c>
      <c r="E47" s="11">
        <f t="shared" si="12"/>
        <v>0.16666666666666699</v>
      </c>
      <c r="F47" s="11">
        <v>0.54166666666666696</v>
      </c>
      <c r="G47" s="25">
        <v>0.70833333333333304</v>
      </c>
      <c r="H47" s="11">
        <f t="shared" si="13"/>
        <v>0.16666666666666699</v>
      </c>
      <c r="I47" s="17"/>
      <c r="J47" s="17"/>
      <c r="K47" s="11">
        <f t="shared" si="14"/>
        <v>0</v>
      </c>
      <c r="L47" s="11">
        <f t="shared" si="15"/>
        <v>0.33333333333333298</v>
      </c>
    </row>
    <row r="48" spans="1:12">
      <c r="E48" s="11">
        <f>SUM(E44:E47)</f>
        <v>0.66666666666666696</v>
      </c>
      <c r="H48" s="11">
        <f>SUM(H44:H47)</f>
        <v>0.66666666666666696</v>
      </c>
      <c r="K48" s="11">
        <f>SUM(K44:K47)</f>
        <v>0</v>
      </c>
      <c r="L48" s="15">
        <f>SUM(L44:L47)</f>
        <v>1.3333333333333299</v>
      </c>
    </row>
    <row r="50" spans="1:12">
      <c r="C50" s="2" t="s">
        <v>275</v>
      </c>
      <c r="G50" s="31" t="s">
        <v>37</v>
      </c>
      <c r="H50" s="6">
        <f>+H41+1</f>
        <v>46249</v>
      </c>
    </row>
    <row r="51" spans="1:12">
      <c r="C51" s="168" t="s">
        <v>3</v>
      </c>
      <c r="D51" s="168"/>
      <c r="E51" s="168"/>
      <c r="F51" s="169" t="s">
        <v>4</v>
      </c>
      <c r="G51" s="169"/>
      <c r="H51" s="169"/>
      <c r="I51" s="170" t="s">
        <v>5</v>
      </c>
      <c r="J51" s="170"/>
      <c r="K51" s="170"/>
    </row>
    <row r="52" spans="1:12">
      <c r="B52" s="7" t="s">
        <v>6</v>
      </c>
      <c r="C52" s="8" t="s">
        <v>7</v>
      </c>
      <c r="D52" s="8" t="s">
        <v>8</v>
      </c>
      <c r="E52" s="8" t="s">
        <v>9</v>
      </c>
      <c r="F52" s="9" t="s">
        <v>7</v>
      </c>
      <c r="G52" s="9" t="s">
        <v>8</v>
      </c>
      <c r="H52" s="9" t="s">
        <v>9</v>
      </c>
      <c r="I52" s="16" t="s">
        <v>7</v>
      </c>
      <c r="J52" s="16" t="s">
        <v>8</v>
      </c>
      <c r="K52" s="16" t="s">
        <v>9</v>
      </c>
      <c r="L52" s="7" t="s">
        <v>10</v>
      </c>
    </row>
    <row r="53" spans="1:12">
      <c r="A53" s="3" t="s">
        <v>276</v>
      </c>
      <c r="B53" s="10" t="s">
        <v>277</v>
      </c>
      <c r="C53" s="25">
        <v>0.33333333333333298</v>
      </c>
      <c r="D53" s="11">
        <v>0.5</v>
      </c>
      <c r="E53" s="11">
        <f t="shared" ref="E53:E56" si="16">IF(D53&gt;C53,D53-C53,C53-D53)</f>
        <v>0.16666666666666699</v>
      </c>
      <c r="F53" s="11">
        <v>0.54166666666666696</v>
      </c>
      <c r="G53" s="25">
        <v>0.66666666666666696</v>
      </c>
      <c r="H53" s="11">
        <f>IF(G53&gt;F53,G53-F53,F53-G53)</f>
        <v>0.125</v>
      </c>
      <c r="I53" s="17"/>
      <c r="J53" s="17"/>
      <c r="K53" s="11">
        <f>IF(J53&gt;I53,J53-I53,I53-J53)</f>
        <v>0</v>
      </c>
      <c r="L53" s="11">
        <f>E53+H53+K53</f>
        <v>0.29166666666666702</v>
      </c>
    </row>
    <row r="54" spans="1:12">
      <c r="A54" s="3" t="s">
        <v>278</v>
      </c>
      <c r="B54" s="10" t="s">
        <v>279</v>
      </c>
      <c r="C54" s="25">
        <v>0.33333333333333298</v>
      </c>
      <c r="D54" s="11">
        <v>0.5</v>
      </c>
      <c r="E54" s="11">
        <f t="shared" si="16"/>
        <v>0.16666666666666699</v>
      </c>
      <c r="F54" s="11">
        <v>0.58333333333333304</v>
      </c>
      <c r="G54" s="25">
        <v>0.75</v>
      </c>
      <c r="H54" s="11">
        <f>IF(G54&gt;F54,G54-F54,F54-G54)</f>
        <v>0.16666666666666699</v>
      </c>
      <c r="I54" s="17"/>
      <c r="J54" s="17"/>
      <c r="K54" s="11">
        <f>IF(J54&gt;I54,J54-I54,I54-J54)</f>
        <v>0</v>
      </c>
      <c r="L54" s="11">
        <f>E54+H54+K54</f>
        <v>0.33333333333333298</v>
      </c>
    </row>
    <row r="55" spans="1:12">
      <c r="A55" s="3" t="s">
        <v>280</v>
      </c>
      <c r="B55" s="10" t="s">
        <v>281</v>
      </c>
      <c r="C55" s="25">
        <v>0.33333333333333298</v>
      </c>
      <c r="D55" s="11">
        <v>0.5</v>
      </c>
      <c r="E55" s="11">
        <f t="shared" si="16"/>
        <v>0.16666666666666699</v>
      </c>
      <c r="F55" s="11">
        <v>0.54166666666666696</v>
      </c>
      <c r="G55" s="25">
        <v>0.66666666666666696</v>
      </c>
      <c r="H55" s="11">
        <f t="shared" ref="H55:H56" si="17">IF(G55&gt;F55,G55-F55,F55-G55)</f>
        <v>0.125</v>
      </c>
      <c r="I55" s="17"/>
      <c r="J55" s="17"/>
      <c r="K55" s="11">
        <f t="shared" ref="K55:K56" si="18">IF(J55&gt;I55,J55-I55,I55-J55)</f>
        <v>0</v>
      </c>
      <c r="L55" s="11">
        <f t="shared" ref="L55:L56" si="19">E55+H55+K55</f>
        <v>0.29166666666666702</v>
      </c>
    </row>
    <row r="56" spans="1:12">
      <c r="A56" s="3" t="s">
        <v>282</v>
      </c>
      <c r="B56" s="10" t="s">
        <v>283</v>
      </c>
      <c r="C56" s="25">
        <v>0.33333333333333298</v>
      </c>
      <c r="D56" s="11">
        <v>0.5</v>
      </c>
      <c r="E56" s="11">
        <f t="shared" si="16"/>
        <v>0.16666666666666699</v>
      </c>
      <c r="F56" s="11">
        <v>0.54166666666666696</v>
      </c>
      <c r="G56" s="25">
        <v>0.66666666666666696</v>
      </c>
      <c r="H56" s="11">
        <f t="shared" si="17"/>
        <v>0.125</v>
      </c>
      <c r="I56" s="17"/>
      <c r="J56" s="17"/>
      <c r="K56" s="11">
        <f t="shared" si="18"/>
        <v>0</v>
      </c>
      <c r="L56" s="11">
        <f t="shared" si="19"/>
        <v>0.29166666666666702</v>
      </c>
    </row>
    <row r="57" spans="1:12">
      <c r="E57" s="11">
        <f>SUM(E53:E56)</f>
        <v>0.66666666666666696</v>
      </c>
      <c r="H57" s="11">
        <f>SUM(H53:H56)</f>
        <v>0.54166666666666696</v>
      </c>
      <c r="K57" s="11">
        <f>SUM(K53:K56)</f>
        <v>0</v>
      </c>
      <c r="L57" s="15">
        <f>SUM(L53:L56)</f>
        <v>1.2083333333333299</v>
      </c>
    </row>
    <row r="59" spans="1:12">
      <c r="C59" s="2" t="s">
        <v>275</v>
      </c>
      <c r="G59" s="31" t="s">
        <v>38</v>
      </c>
      <c r="H59" s="6">
        <f>+H50+1</f>
        <v>46250</v>
      </c>
    </row>
    <row r="60" spans="1:12">
      <c r="C60" s="168" t="s">
        <v>3</v>
      </c>
      <c r="D60" s="168"/>
      <c r="E60" s="168"/>
      <c r="F60" s="169" t="s">
        <v>4</v>
      </c>
      <c r="G60" s="169"/>
      <c r="H60" s="169"/>
      <c r="I60" s="170" t="s">
        <v>5</v>
      </c>
      <c r="J60" s="170"/>
      <c r="K60" s="170"/>
    </row>
    <row r="61" spans="1:12">
      <c r="B61" s="7" t="s">
        <v>6</v>
      </c>
      <c r="C61" s="8" t="s">
        <v>7</v>
      </c>
      <c r="D61" s="8" t="s">
        <v>8</v>
      </c>
      <c r="E61" s="8" t="s">
        <v>9</v>
      </c>
      <c r="F61" s="9" t="s">
        <v>7</v>
      </c>
      <c r="G61" s="9" t="s">
        <v>8</v>
      </c>
      <c r="H61" s="9" t="s">
        <v>9</v>
      </c>
      <c r="I61" s="16" t="s">
        <v>7</v>
      </c>
      <c r="J61" s="16" t="s">
        <v>8</v>
      </c>
      <c r="K61" s="16" t="s">
        <v>9</v>
      </c>
      <c r="L61" s="7" t="s">
        <v>10</v>
      </c>
    </row>
    <row r="62" spans="1:12">
      <c r="A62" s="3" t="s">
        <v>276</v>
      </c>
      <c r="B62" s="10" t="s">
        <v>277</v>
      </c>
      <c r="C62" s="19"/>
      <c r="D62" s="19"/>
      <c r="E62" s="19">
        <f t="shared" ref="E62:E65" si="20">IF(D62&gt;C62,D62-C62,C62-D62)</f>
        <v>0</v>
      </c>
      <c r="F62" s="19"/>
      <c r="G62" s="19"/>
      <c r="H62" s="19">
        <f>IF(G62&gt;F62,G62-F62,F62-G62)</f>
        <v>0</v>
      </c>
      <c r="I62" s="22"/>
      <c r="J62" s="22"/>
      <c r="K62" s="19">
        <f>IF(J62&gt;I62,J62-I62,I62-J62)</f>
        <v>0</v>
      </c>
      <c r="L62" s="11">
        <f>E62+H62+K62</f>
        <v>0</v>
      </c>
    </row>
    <row r="63" spans="1:12">
      <c r="A63" s="3" t="s">
        <v>278</v>
      </c>
      <c r="B63" s="10" t="s">
        <v>279</v>
      </c>
      <c r="C63" s="19"/>
      <c r="D63" s="19"/>
      <c r="E63" s="19">
        <f t="shared" si="20"/>
        <v>0</v>
      </c>
      <c r="F63" s="19"/>
      <c r="G63" s="19"/>
      <c r="H63" s="19">
        <f>IF(G63&gt;F63,G63-F63,F63-G63)</f>
        <v>0</v>
      </c>
      <c r="I63" s="22"/>
      <c r="J63" s="22"/>
      <c r="K63" s="19">
        <f>IF(J63&gt;I63,J63-I63,I63-J63)</f>
        <v>0</v>
      </c>
      <c r="L63" s="11">
        <f>E63+H63+K63</f>
        <v>0</v>
      </c>
    </row>
    <row r="64" spans="1:12">
      <c r="A64" s="3" t="s">
        <v>280</v>
      </c>
      <c r="B64" s="10" t="s">
        <v>281</v>
      </c>
      <c r="C64" s="19"/>
      <c r="D64" s="19"/>
      <c r="E64" s="19">
        <f t="shared" si="20"/>
        <v>0</v>
      </c>
      <c r="F64" s="19"/>
      <c r="G64" s="19"/>
      <c r="H64" s="19">
        <f t="shared" ref="H64:H65" si="21">IF(G64&gt;F64,G64-F64,F64-G64)</f>
        <v>0</v>
      </c>
      <c r="I64" s="22"/>
      <c r="J64" s="22"/>
      <c r="K64" s="19">
        <f t="shared" ref="K64:K65" si="22">IF(J64&gt;I64,J64-I64,I64-J64)</f>
        <v>0</v>
      </c>
      <c r="L64" s="11">
        <f t="shared" ref="L64:L65" si="23">E64+H64+K64</f>
        <v>0</v>
      </c>
    </row>
    <row r="65" spans="1:12">
      <c r="A65" s="3" t="s">
        <v>282</v>
      </c>
      <c r="B65" s="10" t="s">
        <v>283</v>
      </c>
      <c r="C65" s="19"/>
      <c r="D65" s="19"/>
      <c r="E65" s="19">
        <f t="shared" si="20"/>
        <v>0</v>
      </c>
      <c r="F65" s="19"/>
      <c r="G65" s="19"/>
      <c r="H65" s="19">
        <f t="shared" si="21"/>
        <v>0</v>
      </c>
      <c r="I65" s="22"/>
      <c r="J65" s="22"/>
      <c r="K65" s="19">
        <f t="shared" si="22"/>
        <v>0</v>
      </c>
      <c r="L65" s="11">
        <f t="shared" si="23"/>
        <v>0</v>
      </c>
    </row>
    <row r="66" spans="1:12">
      <c r="E66" s="11">
        <f>SUM(E62:E65)</f>
        <v>0</v>
      </c>
      <c r="H66" s="11">
        <f>SUM(H62:H65)</f>
        <v>0</v>
      </c>
      <c r="K66" s="11">
        <f>SUM(K62:K65)</f>
        <v>0</v>
      </c>
      <c r="L66" s="15">
        <f>SUM(L62:L65)</f>
        <v>0</v>
      </c>
    </row>
    <row r="68" spans="1:12">
      <c r="A68" s="3" t="s">
        <v>276</v>
      </c>
      <c r="B68" s="10" t="s">
        <v>277</v>
      </c>
      <c r="C68" s="21">
        <f>+L8+L17+L26+L35+L44+L53+L62</f>
        <v>1.9583333333333299</v>
      </c>
    </row>
    <row r="69" spans="1:12">
      <c r="A69" s="3" t="s">
        <v>278</v>
      </c>
      <c r="B69" s="10" t="s">
        <v>279</v>
      </c>
      <c r="C69" s="21">
        <f t="shared" ref="C69:C71" si="24">+L9+L18+L27+L36+L45+L54+L63</f>
        <v>2</v>
      </c>
    </row>
    <row r="70" spans="1:12">
      <c r="A70" s="3" t="s">
        <v>280</v>
      </c>
      <c r="B70" s="10" t="s">
        <v>281</v>
      </c>
      <c r="C70" s="21">
        <f t="shared" si="24"/>
        <v>1.9583333333333299</v>
      </c>
    </row>
    <row r="71" spans="1:12">
      <c r="A71" s="3" t="s">
        <v>282</v>
      </c>
      <c r="B71" s="10" t="s">
        <v>283</v>
      </c>
      <c r="C71" s="21">
        <f t="shared" si="24"/>
        <v>1.9583333333333299</v>
      </c>
    </row>
  </sheetData>
  <mergeCells count="22">
    <mergeCell ref="C6:E6"/>
    <mergeCell ref="F6:H6"/>
    <mergeCell ref="I6:K6"/>
    <mergeCell ref="C15:E15"/>
    <mergeCell ref="F15:H15"/>
    <mergeCell ref="I15:K15"/>
    <mergeCell ref="C60:E60"/>
    <mergeCell ref="F60:H60"/>
    <mergeCell ref="I60:K60"/>
    <mergeCell ref="E2:I3"/>
    <mergeCell ref="C42:E42"/>
    <mergeCell ref="F42:H42"/>
    <mergeCell ref="I42:K42"/>
    <mergeCell ref="C51:E51"/>
    <mergeCell ref="F51:H51"/>
    <mergeCell ref="I51:K51"/>
    <mergeCell ref="C24:E24"/>
    <mergeCell ref="F24:H24"/>
    <mergeCell ref="I24:K24"/>
    <mergeCell ref="C33:E33"/>
    <mergeCell ref="F33:H33"/>
    <mergeCell ref="I33:K33"/>
  </mergeCells>
  <pageMargins left="0.7" right="0.7" top="0.75" bottom="0.28999999999999998" header="0.3" footer="0.3"/>
  <pageSetup paperSize="9" fitToHeight="0" orientation="landscape" verticalDpi="12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A2:N137"/>
  <sheetViews>
    <sheetView zoomScale="96" zoomScaleNormal="96" workbookViewId="0">
      <selection activeCell="E110" sqref="E110:E122"/>
    </sheetView>
  </sheetViews>
  <sheetFormatPr defaultColWidth="11" defaultRowHeight="15"/>
  <cols>
    <col min="1" max="1" width="8.85546875" style="3" customWidth="1"/>
    <col min="2" max="2" width="14.7109375" customWidth="1"/>
  </cols>
  <sheetData>
    <row r="2" spans="1:14">
      <c r="E2" s="171" t="s">
        <v>284</v>
      </c>
      <c r="F2" s="171"/>
      <c r="G2" s="171"/>
      <c r="H2" s="171"/>
      <c r="I2" s="171"/>
    </row>
    <row r="3" spans="1:14">
      <c r="E3" s="171"/>
      <c r="F3" s="171"/>
      <c r="G3" s="171"/>
      <c r="H3" s="171"/>
      <c r="I3" s="171"/>
    </row>
    <row r="4" spans="1:14" ht="18.75">
      <c r="E4" s="4"/>
      <c r="F4" s="4"/>
      <c r="G4" s="4"/>
      <c r="H4" s="4"/>
      <c r="I4" s="4"/>
    </row>
    <row r="5" spans="1:14">
      <c r="C5" s="2" t="s">
        <v>285</v>
      </c>
      <c r="G5" s="5" t="str">
        <f>+MAINTENANCE!G5</f>
        <v>LUNDI</v>
      </c>
      <c r="H5" s="6">
        <f>+MAINTENANCE!H5</f>
        <v>46244</v>
      </c>
    </row>
    <row r="6" spans="1:14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4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4">
      <c r="A8" s="3" t="s">
        <v>286</v>
      </c>
      <c r="B8" s="24" t="s">
        <v>287</v>
      </c>
      <c r="C8" s="11">
        <v>0</v>
      </c>
      <c r="D8" s="11">
        <v>0.25</v>
      </c>
      <c r="E8" s="11">
        <f t="shared" ref="E8:E10" si="0">IF(D8&gt;C8,D8-C8,C8-D8)</f>
        <v>0.25</v>
      </c>
      <c r="F8" s="25"/>
      <c r="G8" s="11"/>
      <c r="H8" s="11">
        <f t="shared" ref="H8:H10" si="1">IF(G8&gt;F8,G8-F8,F8-G8)</f>
        <v>0</v>
      </c>
      <c r="I8" s="17"/>
      <c r="J8" s="29"/>
      <c r="K8" s="11">
        <f t="shared" ref="K8:K10" si="2">IF(J8&gt;I8,J8-I8,I8-J8)</f>
        <v>0</v>
      </c>
      <c r="L8" s="11">
        <f t="shared" ref="L8:L10" si="3">E8+H8+K8</f>
        <v>0.25</v>
      </c>
    </row>
    <row r="9" spans="1:14">
      <c r="A9" s="3" t="s">
        <v>288</v>
      </c>
      <c r="B9" s="26" t="s">
        <v>289</v>
      </c>
      <c r="C9" s="11">
        <v>0.25</v>
      </c>
      <c r="D9" s="11">
        <v>0.5</v>
      </c>
      <c r="E9" s="11">
        <f t="shared" si="0"/>
        <v>0.25</v>
      </c>
      <c r="F9" s="25">
        <v>0.5</v>
      </c>
      <c r="G9" s="11">
        <v>0.75</v>
      </c>
      <c r="H9" s="11">
        <f t="shared" si="1"/>
        <v>0.25</v>
      </c>
      <c r="I9" s="17"/>
      <c r="J9" s="29"/>
      <c r="K9" s="11">
        <f t="shared" si="2"/>
        <v>0</v>
      </c>
      <c r="L9" s="11">
        <f t="shared" si="3"/>
        <v>0.5</v>
      </c>
    </row>
    <row r="10" spans="1:14">
      <c r="A10" s="3" t="s">
        <v>290</v>
      </c>
      <c r="B10" s="26" t="s">
        <v>291</v>
      </c>
      <c r="C10" s="11">
        <v>0.25</v>
      </c>
      <c r="D10" s="11">
        <v>0.5</v>
      </c>
      <c r="E10" s="11">
        <f t="shared" si="0"/>
        <v>0.25</v>
      </c>
      <c r="F10" s="25">
        <v>0.5</v>
      </c>
      <c r="G10" s="11">
        <v>0.75</v>
      </c>
      <c r="H10" s="11">
        <f t="shared" si="1"/>
        <v>0.25</v>
      </c>
      <c r="I10" s="17"/>
      <c r="J10" s="29"/>
      <c r="K10" s="11">
        <f t="shared" si="2"/>
        <v>0</v>
      </c>
      <c r="L10" s="11">
        <f t="shared" si="3"/>
        <v>0.5</v>
      </c>
    </row>
    <row r="11" spans="1:14">
      <c r="A11" s="3" t="s">
        <v>292</v>
      </c>
      <c r="B11" s="24" t="s">
        <v>293</v>
      </c>
      <c r="C11" s="11">
        <v>0</v>
      </c>
      <c r="D11" s="11">
        <v>0.25</v>
      </c>
      <c r="E11" s="11">
        <f t="shared" ref="E11:E12" si="4">IF(D11&gt;C11,D11-C11,C11-D11)</f>
        <v>0.25</v>
      </c>
      <c r="F11" s="25"/>
      <c r="G11" s="11"/>
      <c r="H11" s="11">
        <f t="shared" ref="H11:H12" si="5">IF(G11&gt;F11,G11-F11,F11-G11)</f>
        <v>0</v>
      </c>
      <c r="I11" s="17"/>
      <c r="J11" s="29"/>
      <c r="K11" s="11">
        <f t="shared" ref="K11:K12" si="6">IF(J11&gt;I11,J11-I11,I11-J11)</f>
        <v>0</v>
      </c>
      <c r="L11" s="11">
        <f t="shared" ref="L11:L12" si="7">E11+H11+K11</f>
        <v>0.25</v>
      </c>
    </row>
    <row r="12" spans="1:14">
      <c r="A12" s="3" t="s">
        <v>294</v>
      </c>
      <c r="B12" s="26" t="s">
        <v>295</v>
      </c>
      <c r="C12" s="11">
        <v>0.25</v>
      </c>
      <c r="D12" s="11">
        <v>0.5</v>
      </c>
      <c r="E12" s="11">
        <f t="shared" si="4"/>
        <v>0.25</v>
      </c>
      <c r="F12" s="25">
        <v>0.5</v>
      </c>
      <c r="G12" s="11">
        <v>0.75</v>
      </c>
      <c r="H12" s="11">
        <f t="shared" si="5"/>
        <v>0.25</v>
      </c>
      <c r="I12" s="17"/>
      <c r="J12" s="29"/>
      <c r="K12" s="11">
        <f t="shared" si="6"/>
        <v>0</v>
      </c>
      <c r="L12" s="11">
        <f t="shared" si="7"/>
        <v>0.5</v>
      </c>
    </row>
    <row r="13" spans="1:14">
      <c r="A13" s="3" t="s">
        <v>296</v>
      </c>
      <c r="B13" s="27" t="s">
        <v>297</v>
      </c>
      <c r="C13" s="11"/>
      <c r="D13" s="11"/>
      <c r="E13" s="11">
        <f t="shared" ref="E13:E14" si="8">IF(D13&gt;C13,D13-C13,C13-D13)</f>
        <v>0</v>
      </c>
      <c r="F13" s="25"/>
      <c r="G13" s="11"/>
      <c r="H13" s="11">
        <f t="shared" ref="H13:H17" si="9">IF(G13&gt;F13,G13-F13,F13-G13)</f>
        <v>0</v>
      </c>
      <c r="I13" s="17"/>
      <c r="J13" s="29"/>
      <c r="K13" s="11">
        <f t="shared" ref="K13:K14" si="10">IF(J13&gt;I13,J13-I13,I13-J13)</f>
        <v>0</v>
      </c>
      <c r="L13" s="11">
        <f t="shared" ref="L13:L14" si="11">E13+H13+K13</f>
        <v>0</v>
      </c>
    </row>
    <row r="14" spans="1:14">
      <c r="A14" s="3" t="s">
        <v>298</v>
      </c>
      <c r="B14" s="24" t="s">
        <v>299</v>
      </c>
      <c r="C14" s="11">
        <v>0</v>
      </c>
      <c r="D14" s="11">
        <v>0.25</v>
      </c>
      <c r="E14" s="11">
        <f t="shared" si="8"/>
        <v>0.25</v>
      </c>
      <c r="F14" s="25"/>
      <c r="G14" s="11"/>
      <c r="H14" s="11">
        <f t="shared" si="9"/>
        <v>0</v>
      </c>
      <c r="I14" s="17"/>
      <c r="J14" s="29"/>
      <c r="K14" s="11">
        <f t="shared" si="10"/>
        <v>0</v>
      </c>
      <c r="L14" s="11">
        <f t="shared" si="11"/>
        <v>0.25</v>
      </c>
    </row>
    <row r="15" spans="1:14">
      <c r="A15" s="3" t="s">
        <v>300</v>
      </c>
      <c r="B15" s="27" t="s">
        <v>301</v>
      </c>
      <c r="C15" s="11"/>
      <c r="D15" s="11"/>
      <c r="E15" s="11">
        <f t="shared" ref="E15:E19" si="12">IF(D15&gt;C15,D15-C15,C15-D15)</f>
        <v>0</v>
      </c>
      <c r="F15" s="25"/>
      <c r="G15" s="11"/>
      <c r="H15" s="11">
        <f t="shared" si="9"/>
        <v>0</v>
      </c>
      <c r="I15" s="17"/>
      <c r="J15" s="29"/>
      <c r="K15" s="11">
        <f t="shared" ref="K15:K19" si="13">IF(J15&gt;I15,J15-I15,I15-J15)</f>
        <v>0</v>
      </c>
      <c r="L15" s="11">
        <f t="shared" ref="L15:L17" si="14">E15+H15+K15</f>
        <v>0</v>
      </c>
    </row>
    <row r="16" spans="1:14">
      <c r="A16" s="3" t="s">
        <v>302</v>
      </c>
      <c r="B16" s="24" t="s">
        <v>124</v>
      </c>
      <c r="C16" s="11">
        <v>0</v>
      </c>
      <c r="D16" s="11">
        <v>0.25</v>
      </c>
      <c r="E16" s="11">
        <f t="shared" si="12"/>
        <v>0.25</v>
      </c>
      <c r="F16" s="25"/>
      <c r="G16" s="11"/>
      <c r="H16" s="11">
        <f t="shared" si="9"/>
        <v>0</v>
      </c>
      <c r="I16" s="17"/>
      <c r="J16" s="29"/>
      <c r="K16" s="11">
        <f t="shared" si="13"/>
        <v>0</v>
      </c>
      <c r="L16" s="11">
        <f t="shared" si="14"/>
        <v>0.25</v>
      </c>
      <c r="N16" s="24"/>
    </row>
    <row r="17" spans="1:14">
      <c r="A17" s="3" t="s">
        <v>303</v>
      </c>
      <c r="B17" s="26" t="s">
        <v>119</v>
      </c>
      <c r="C17" s="11">
        <v>0.25</v>
      </c>
      <c r="D17" s="11">
        <v>0.5</v>
      </c>
      <c r="E17" s="11">
        <f t="shared" si="12"/>
        <v>0.25</v>
      </c>
      <c r="F17" s="25">
        <v>0.5</v>
      </c>
      <c r="G17" s="11">
        <v>0.75</v>
      </c>
      <c r="H17" s="11">
        <f t="shared" si="9"/>
        <v>0.25</v>
      </c>
      <c r="I17" s="17"/>
      <c r="J17" s="29"/>
      <c r="K17" s="11">
        <f t="shared" si="13"/>
        <v>0</v>
      </c>
      <c r="L17" s="11">
        <f t="shared" si="14"/>
        <v>0.5</v>
      </c>
      <c r="N17" s="24"/>
    </row>
    <row r="18" spans="1:14">
      <c r="A18" s="3" t="s">
        <v>304</v>
      </c>
      <c r="B18" s="27" t="s">
        <v>305</v>
      </c>
      <c r="C18" s="11"/>
      <c r="D18" s="11"/>
      <c r="E18" s="11">
        <f t="shared" ref="E18" si="15">IF(D18&gt;C18,D18-C18,C18-D18)</f>
        <v>0</v>
      </c>
      <c r="F18" s="25"/>
      <c r="G18" s="11"/>
      <c r="H18" s="11">
        <f t="shared" ref="H18" si="16">IF(G18&gt;F18,G18-F18,F18-G18)</f>
        <v>0</v>
      </c>
      <c r="I18" s="17"/>
      <c r="J18" s="29"/>
      <c r="K18" s="11">
        <f t="shared" ref="K18" si="17">IF(J18&gt;I18,J18-I18,I18-J18)</f>
        <v>0</v>
      </c>
      <c r="L18" s="11">
        <f t="shared" ref="L18" si="18">E18+H18+K18</f>
        <v>0</v>
      </c>
      <c r="N18" s="24"/>
    </row>
    <row r="19" spans="1:14">
      <c r="A19" s="3" t="s">
        <v>306</v>
      </c>
      <c r="B19" s="27" t="s">
        <v>307</v>
      </c>
      <c r="C19" s="11"/>
      <c r="D19" s="11"/>
      <c r="E19" s="11">
        <f t="shared" si="12"/>
        <v>0</v>
      </c>
      <c r="F19" s="25"/>
      <c r="G19" s="11"/>
      <c r="H19" s="11">
        <f t="shared" ref="H19" si="19">IF(G19&gt;F19,G19-F19,F19-G19)</f>
        <v>0</v>
      </c>
      <c r="I19" s="17"/>
      <c r="J19" s="29"/>
      <c r="K19" s="11">
        <f t="shared" si="13"/>
        <v>0</v>
      </c>
      <c r="L19" s="11">
        <f t="shared" ref="L19" si="20">E19+H19+K19</f>
        <v>0</v>
      </c>
      <c r="N19" s="24"/>
    </row>
    <row r="20" spans="1:14">
      <c r="E20" s="15">
        <f>SUM(E8:E19)</f>
        <v>2</v>
      </c>
      <c r="F20" s="15"/>
      <c r="G20" s="15"/>
      <c r="H20" s="15">
        <f>SUM(H8:H19)</f>
        <v>1</v>
      </c>
      <c r="I20" s="15"/>
      <c r="J20" s="15"/>
      <c r="K20" s="15">
        <f>SUM(K8:K19)</f>
        <v>0</v>
      </c>
      <c r="L20" s="15">
        <f>SUM(L8:L19)</f>
        <v>3</v>
      </c>
      <c r="N20" s="24"/>
    </row>
    <row r="21" spans="1:14">
      <c r="N21" s="24"/>
    </row>
    <row r="22" spans="1:14">
      <c r="C22" s="2" t="s">
        <v>285</v>
      </c>
      <c r="G22" s="2" t="str">
        <f>+MAINTENANCE!G14</f>
        <v>MARDI</v>
      </c>
      <c r="H22" s="6">
        <f>+H5+1</f>
        <v>46245</v>
      </c>
      <c r="N22" s="24"/>
    </row>
    <row r="23" spans="1:14">
      <c r="C23" s="168" t="s">
        <v>3</v>
      </c>
      <c r="D23" s="168"/>
      <c r="E23" s="168"/>
      <c r="F23" s="169" t="s">
        <v>4</v>
      </c>
      <c r="G23" s="169"/>
      <c r="H23" s="169"/>
      <c r="I23" s="170" t="s">
        <v>5</v>
      </c>
      <c r="J23" s="170"/>
      <c r="K23" s="170"/>
      <c r="N23" s="24"/>
    </row>
    <row r="24" spans="1:14">
      <c r="B24" s="7" t="s">
        <v>6</v>
      </c>
      <c r="C24" s="8" t="s">
        <v>7</v>
      </c>
      <c r="D24" s="8" t="s">
        <v>8</v>
      </c>
      <c r="E24" s="8" t="s">
        <v>9</v>
      </c>
      <c r="F24" s="9" t="s">
        <v>7</v>
      </c>
      <c r="G24" s="9" t="s">
        <v>8</v>
      </c>
      <c r="H24" s="9" t="s">
        <v>9</v>
      </c>
      <c r="I24" s="16" t="s">
        <v>7</v>
      </c>
      <c r="J24" s="16" t="s">
        <v>8</v>
      </c>
      <c r="K24" s="16" t="s">
        <v>9</v>
      </c>
      <c r="L24" s="7" t="s">
        <v>10</v>
      </c>
      <c r="N24" s="24"/>
    </row>
    <row r="25" spans="1:14">
      <c r="A25" s="3" t="s">
        <v>286</v>
      </c>
      <c r="B25" s="27" t="s">
        <v>287</v>
      </c>
      <c r="C25" s="11"/>
      <c r="D25" s="11"/>
      <c r="E25" s="11">
        <f t="shared" ref="E25:E27" si="21">IF(D25&gt;C25,D25-C25,C25-D25)</f>
        <v>0</v>
      </c>
      <c r="F25" s="25"/>
      <c r="G25" s="11"/>
      <c r="H25" s="11">
        <f t="shared" ref="H25:H27" si="22">IF(G25&gt;F25,G25-F25,F25-G25)</f>
        <v>0</v>
      </c>
      <c r="I25" s="17">
        <v>0.75</v>
      </c>
      <c r="J25" s="29">
        <v>1</v>
      </c>
      <c r="K25" s="11">
        <f t="shared" ref="K25:K27" si="23">IF(J25&gt;I25,J25-I25,I25-J25)</f>
        <v>0.25</v>
      </c>
      <c r="L25" s="11">
        <f t="shared" ref="L25:L27" si="24">E25+H25+K25</f>
        <v>0.25</v>
      </c>
      <c r="N25" s="24"/>
    </row>
    <row r="26" spans="1:14">
      <c r="A26" s="3" t="s">
        <v>288</v>
      </c>
      <c r="B26" s="24" t="s">
        <v>289</v>
      </c>
      <c r="C26" s="11"/>
      <c r="D26" s="11"/>
      <c r="E26" s="11">
        <f t="shared" si="21"/>
        <v>0</v>
      </c>
      <c r="F26" s="25"/>
      <c r="G26" s="11"/>
      <c r="H26" s="11">
        <f t="shared" si="22"/>
        <v>0</v>
      </c>
      <c r="I26" s="17">
        <v>0.75</v>
      </c>
      <c r="J26" s="29">
        <v>1</v>
      </c>
      <c r="K26" s="11">
        <f t="shared" si="23"/>
        <v>0.25</v>
      </c>
      <c r="L26" s="11">
        <f t="shared" si="24"/>
        <v>0.25</v>
      </c>
      <c r="N26" s="24"/>
    </row>
    <row r="27" spans="1:14">
      <c r="A27" s="3" t="s">
        <v>290</v>
      </c>
      <c r="B27" s="24" t="s">
        <v>291</v>
      </c>
      <c r="C27" s="11"/>
      <c r="D27" s="11"/>
      <c r="E27" s="11">
        <f t="shared" si="21"/>
        <v>0</v>
      </c>
      <c r="F27" s="25"/>
      <c r="G27" s="11"/>
      <c r="H27" s="11">
        <f t="shared" si="22"/>
        <v>0</v>
      </c>
      <c r="I27" s="17">
        <v>0.75</v>
      </c>
      <c r="J27" s="29">
        <v>1</v>
      </c>
      <c r="K27" s="11">
        <f t="shared" si="23"/>
        <v>0.25</v>
      </c>
      <c r="L27" s="11">
        <f t="shared" si="24"/>
        <v>0.25</v>
      </c>
      <c r="N27" s="24"/>
    </row>
    <row r="28" spans="1:14">
      <c r="A28" s="3" t="s">
        <v>292</v>
      </c>
      <c r="B28" s="27" t="s">
        <v>293</v>
      </c>
      <c r="C28" s="11"/>
      <c r="D28" s="11"/>
      <c r="E28" s="11">
        <f t="shared" ref="E28:E34" si="25">IF(D28&gt;C28,D28-C28,C28-D28)</f>
        <v>0</v>
      </c>
      <c r="F28" s="25"/>
      <c r="G28" s="11"/>
      <c r="H28" s="11">
        <f t="shared" ref="H28:H34" si="26">IF(G28&gt;F28,G28-F28,F28-G28)</f>
        <v>0</v>
      </c>
      <c r="I28" s="17">
        <v>0.75</v>
      </c>
      <c r="J28" s="29">
        <v>1</v>
      </c>
      <c r="K28" s="11">
        <f t="shared" ref="K28:K34" si="27">IF(J28&gt;I28,J28-I28,I28-J28)</f>
        <v>0.25</v>
      </c>
      <c r="L28" s="11">
        <f t="shared" ref="L28:L29" si="28">E28+H28+K28</f>
        <v>0.25</v>
      </c>
    </row>
    <row r="29" spans="1:14">
      <c r="A29" s="3" t="s">
        <v>294</v>
      </c>
      <c r="B29" s="24" t="s">
        <v>295</v>
      </c>
      <c r="C29" s="11"/>
      <c r="D29" s="11"/>
      <c r="E29" s="11">
        <f t="shared" si="25"/>
        <v>0</v>
      </c>
      <c r="F29" s="25"/>
      <c r="G29" s="11"/>
      <c r="H29" s="11">
        <f t="shared" si="26"/>
        <v>0</v>
      </c>
      <c r="I29" s="17">
        <v>0.75</v>
      </c>
      <c r="J29" s="29">
        <v>1</v>
      </c>
      <c r="K29" s="11">
        <f t="shared" si="27"/>
        <v>0.25</v>
      </c>
      <c r="L29" s="11">
        <f t="shared" si="28"/>
        <v>0.25</v>
      </c>
    </row>
    <row r="30" spans="1:14">
      <c r="A30" s="3" t="s">
        <v>296</v>
      </c>
      <c r="B30" s="26" t="s">
        <v>297</v>
      </c>
      <c r="C30" s="11">
        <v>0.25</v>
      </c>
      <c r="D30" s="11">
        <v>0.5</v>
      </c>
      <c r="E30" s="11">
        <f t="shared" ref="E30" si="29">IF(D30&gt;C30,D30-C30,C30-D30)</f>
        <v>0.25</v>
      </c>
      <c r="F30" s="25">
        <v>0.5</v>
      </c>
      <c r="G30" s="11">
        <v>0.75</v>
      </c>
      <c r="H30" s="11">
        <f t="shared" ref="H30" si="30">IF(G30&gt;F30,G30-F30,F30-G30)</f>
        <v>0.25</v>
      </c>
      <c r="I30" s="17"/>
      <c r="J30" s="29"/>
      <c r="K30" s="11">
        <f t="shared" ref="K30" si="31">IF(J30&gt;I30,J30-I30,I30-J30)</f>
        <v>0</v>
      </c>
      <c r="L30" s="11">
        <f t="shared" ref="L30" si="32">E30+H30+K30</f>
        <v>0.5</v>
      </c>
    </row>
    <row r="31" spans="1:14">
      <c r="A31" s="3" t="s">
        <v>298</v>
      </c>
      <c r="B31" s="27" t="s">
        <v>299</v>
      </c>
      <c r="C31" s="11"/>
      <c r="D31" s="11"/>
      <c r="E31" s="11">
        <f t="shared" si="25"/>
        <v>0</v>
      </c>
      <c r="F31" s="25"/>
      <c r="G31" s="11"/>
      <c r="H31" s="11">
        <f t="shared" si="26"/>
        <v>0</v>
      </c>
      <c r="I31" s="17">
        <v>0.75</v>
      </c>
      <c r="J31" s="29">
        <v>1</v>
      </c>
      <c r="K31" s="11">
        <f t="shared" si="27"/>
        <v>0.25</v>
      </c>
      <c r="L31" s="11">
        <f t="shared" ref="L31:L32" si="33">E31+H31+K31</f>
        <v>0.25</v>
      </c>
    </row>
    <row r="32" spans="1:14">
      <c r="A32" s="3" t="s">
        <v>300</v>
      </c>
      <c r="B32" s="26" t="s">
        <v>301</v>
      </c>
      <c r="C32" s="11">
        <v>0.25</v>
      </c>
      <c r="D32" s="11">
        <v>0.5</v>
      </c>
      <c r="E32" s="11">
        <f t="shared" ref="E32" si="34">IF(D32&gt;C32,D32-C32,C32-D32)</f>
        <v>0.25</v>
      </c>
      <c r="F32" s="25">
        <v>0.5</v>
      </c>
      <c r="G32" s="11">
        <v>0.75</v>
      </c>
      <c r="H32" s="11">
        <f t="shared" ref="H32" si="35">IF(G32&gt;F32,G32-F32,F32-G32)</f>
        <v>0.25</v>
      </c>
      <c r="I32" s="17"/>
      <c r="J32" s="29"/>
      <c r="K32" s="11">
        <f t="shared" ref="K32" si="36">IF(J32&gt;I32,J32-I32,I32-J32)</f>
        <v>0</v>
      </c>
      <c r="L32" s="11">
        <f t="shared" si="33"/>
        <v>0.5</v>
      </c>
    </row>
    <row r="33" spans="1:12">
      <c r="A33" s="3" t="s">
        <v>302</v>
      </c>
      <c r="B33" s="27" t="s">
        <v>124</v>
      </c>
      <c r="C33" s="11"/>
      <c r="D33" s="11"/>
      <c r="E33" s="11">
        <f t="shared" si="25"/>
        <v>0</v>
      </c>
      <c r="F33" s="25"/>
      <c r="G33" s="11"/>
      <c r="H33" s="11">
        <f t="shared" si="26"/>
        <v>0</v>
      </c>
      <c r="I33" s="17">
        <v>0.75</v>
      </c>
      <c r="J33" s="29">
        <v>1</v>
      </c>
      <c r="K33" s="11">
        <f t="shared" si="27"/>
        <v>0.25</v>
      </c>
      <c r="L33" s="11">
        <f t="shared" ref="L33:L34" si="37">E33+H33+K33</f>
        <v>0.25</v>
      </c>
    </row>
    <row r="34" spans="1:12">
      <c r="A34" s="3" t="s">
        <v>303</v>
      </c>
      <c r="B34" s="24" t="s">
        <v>119</v>
      </c>
      <c r="C34" s="11"/>
      <c r="D34" s="11"/>
      <c r="E34" s="11">
        <f t="shared" si="25"/>
        <v>0</v>
      </c>
      <c r="F34" s="25"/>
      <c r="G34" s="11"/>
      <c r="H34" s="11">
        <f t="shared" si="26"/>
        <v>0</v>
      </c>
      <c r="I34" s="17">
        <v>0.75</v>
      </c>
      <c r="J34" s="29">
        <v>1</v>
      </c>
      <c r="K34" s="11">
        <f t="shared" si="27"/>
        <v>0.25</v>
      </c>
      <c r="L34" s="11">
        <f t="shared" si="37"/>
        <v>0.25</v>
      </c>
    </row>
    <row r="35" spans="1:12">
      <c r="A35" s="3" t="s">
        <v>304</v>
      </c>
      <c r="B35" s="26" t="s">
        <v>305</v>
      </c>
      <c r="C35" s="11">
        <v>0.25</v>
      </c>
      <c r="D35" s="11">
        <v>0.5</v>
      </c>
      <c r="E35" s="11">
        <f t="shared" ref="E35" si="38">IF(D35&gt;C35,D35-C35,C35-D35)</f>
        <v>0.25</v>
      </c>
      <c r="F35" s="25">
        <v>0.5</v>
      </c>
      <c r="G35" s="11">
        <v>0.75</v>
      </c>
      <c r="H35" s="11">
        <f t="shared" ref="H35" si="39">IF(G35&gt;F35,G35-F35,F35-G35)</f>
        <v>0.25</v>
      </c>
      <c r="I35" s="17"/>
      <c r="J35" s="29"/>
      <c r="K35" s="11">
        <f t="shared" ref="K35" si="40">IF(J35&gt;I35,J35-I35,I35-J35)</f>
        <v>0</v>
      </c>
      <c r="L35" s="11">
        <f t="shared" ref="L35:L36" si="41">E35+H35+K35</f>
        <v>0.5</v>
      </c>
    </row>
    <row r="36" spans="1:12">
      <c r="A36" s="3" t="s">
        <v>306</v>
      </c>
      <c r="B36" s="26" t="s">
        <v>307</v>
      </c>
      <c r="C36" s="11">
        <v>0.25</v>
      </c>
      <c r="D36" s="11">
        <v>0.5</v>
      </c>
      <c r="E36" s="11">
        <f t="shared" ref="E36" si="42">IF(D36&gt;C36,D36-C36,C36-D36)</f>
        <v>0.25</v>
      </c>
      <c r="F36" s="25">
        <v>0.5</v>
      </c>
      <c r="G36" s="11">
        <v>0.75</v>
      </c>
      <c r="H36" s="11">
        <f t="shared" ref="H36" si="43">IF(G36&gt;F36,G36-F36,F36-G36)</f>
        <v>0.25</v>
      </c>
      <c r="I36" s="17"/>
      <c r="J36" s="29"/>
      <c r="K36" s="11">
        <f t="shared" ref="K36" si="44">IF(J36&gt;I36,J36-I36,I36-J36)</f>
        <v>0</v>
      </c>
      <c r="L36" s="11">
        <f t="shared" si="41"/>
        <v>0.5</v>
      </c>
    </row>
    <row r="37" spans="1:12">
      <c r="E37" s="15">
        <f>SUM(E25:E36)</f>
        <v>1</v>
      </c>
      <c r="F37" s="15"/>
      <c r="G37" s="15"/>
      <c r="H37" s="15">
        <f>SUM(H25:H36)</f>
        <v>1</v>
      </c>
      <c r="I37" s="15"/>
      <c r="J37" s="15"/>
      <c r="K37" s="15">
        <f>SUM(K25:K36)</f>
        <v>2</v>
      </c>
      <c r="L37" s="15">
        <f>SUM(L25:L36)</f>
        <v>4</v>
      </c>
    </row>
    <row r="39" spans="1:12">
      <c r="C39" s="2" t="s">
        <v>285</v>
      </c>
      <c r="G39" s="28" t="str">
        <f>+MAINTENANCE!G23</f>
        <v>MERCREDI</v>
      </c>
      <c r="H39" s="6">
        <f>+H22+1</f>
        <v>46246</v>
      </c>
    </row>
    <row r="40" spans="1:12">
      <c r="C40" s="168" t="s">
        <v>3</v>
      </c>
      <c r="D40" s="168"/>
      <c r="E40" s="168"/>
      <c r="F40" s="169" t="s">
        <v>4</v>
      </c>
      <c r="G40" s="169"/>
      <c r="H40" s="169"/>
      <c r="I40" s="170" t="s">
        <v>5</v>
      </c>
      <c r="J40" s="170"/>
      <c r="K40" s="170"/>
    </row>
    <row r="41" spans="1:12">
      <c r="B41" s="7" t="s">
        <v>6</v>
      </c>
      <c r="C41" s="8" t="s">
        <v>7</v>
      </c>
      <c r="D41" s="8" t="s">
        <v>8</v>
      </c>
      <c r="E41" s="8" t="s">
        <v>9</v>
      </c>
      <c r="F41" s="9" t="s">
        <v>7</v>
      </c>
      <c r="G41" s="9" t="s">
        <v>8</v>
      </c>
      <c r="H41" s="9" t="s">
        <v>9</v>
      </c>
      <c r="I41" s="16" t="s">
        <v>7</v>
      </c>
      <c r="J41" s="16" t="s">
        <v>8</v>
      </c>
      <c r="K41" s="16" t="s">
        <v>9</v>
      </c>
      <c r="L41" s="7" t="s">
        <v>10</v>
      </c>
    </row>
    <row r="42" spans="1:12">
      <c r="A42" s="3" t="s">
        <v>286</v>
      </c>
      <c r="B42" s="26" t="s">
        <v>287</v>
      </c>
      <c r="C42" s="11">
        <v>0.25</v>
      </c>
      <c r="D42" s="11">
        <v>0.5</v>
      </c>
      <c r="E42" s="11">
        <f t="shared" ref="E42" si="45">IF(D42&gt;C42,D42-C42,C42-D42)</f>
        <v>0.25</v>
      </c>
      <c r="F42" s="25">
        <v>0.5</v>
      </c>
      <c r="G42" s="11">
        <v>0.75</v>
      </c>
      <c r="H42" s="11">
        <f t="shared" ref="H42" si="46">IF(G42&gt;F42,G42-F42,F42-G42)</f>
        <v>0.25</v>
      </c>
      <c r="I42" s="17"/>
      <c r="J42" s="29"/>
      <c r="K42" s="11">
        <f t="shared" ref="K42" si="47">IF(J42&gt;I42,J42-I42,I42-J42)</f>
        <v>0</v>
      </c>
      <c r="L42" s="11">
        <f t="shared" ref="L42" si="48">E42+H42+K42</f>
        <v>0.5</v>
      </c>
    </row>
    <row r="43" spans="1:12">
      <c r="A43" s="3" t="s">
        <v>288</v>
      </c>
      <c r="B43" s="27" t="s">
        <v>289</v>
      </c>
      <c r="C43" s="11">
        <v>0</v>
      </c>
      <c r="D43" s="11">
        <v>0.25</v>
      </c>
      <c r="E43" s="11">
        <f t="shared" ref="E43:E45" si="49">IF(D43&gt;C43,D43-C43,C43-D43)</f>
        <v>0.25</v>
      </c>
      <c r="F43" s="25"/>
      <c r="G43" s="11"/>
      <c r="H43" s="11">
        <f t="shared" ref="H43:H45" si="50">IF(G43&gt;F43,G43-F43,F43-G43)</f>
        <v>0</v>
      </c>
      <c r="I43" s="17"/>
      <c r="J43" s="29"/>
      <c r="K43" s="11">
        <f t="shared" ref="K43:K45" si="51">IF(J43&gt;I43,J43-I43,I43-J43)</f>
        <v>0</v>
      </c>
      <c r="L43" s="11">
        <f t="shared" ref="L43:L45" si="52">E43+H43+K43</f>
        <v>0.25</v>
      </c>
    </row>
    <row r="44" spans="1:12">
      <c r="A44" s="3" t="s">
        <v>290</v>
      </c>
      <c r="B44" s="27" t="s">
        <v>291</v>
      </c>
      <c r="C44" s="11">
        <v>0</v>
      </c>
      <c r="D44" s="11">
        <v>0.25</v>
      </c>
      <c r="E44" s="11">
        <f t="shared" si="49"/>
        <v>0.25</v>
      </c>
      <c r="F44" s="25"/>
      <c r="G44" s="11"/>
      <c r="H44" s="11">
        <f t="shared" si="50"/>
        <v>0</v>
      </c>
      <c r="I44" s="17"/>
      <c r="J44" s="29"/>
      <c r="K44" s="11">
        <f t="shared" si="51"/>
        <v>0</v>
      </c>
      <c r="L44" s="11">
        <f t="shared" si="52"/>
        <v>0.25</v>
      </c>
    </row>
    <row r="45" spans="1:12">
      <c r="A45" s="3" t="s">
        <v>292</v>
      </c>
      <c r="B45" s="26" t="s">
        <v>293</v>
      </c>
      <c r="C45" s="11">
        <v>0.25</v>
      </c>
      <c r="D45" s="11">
        <v>0.5</v>
      </c>
      <c r="E45" s="11">
        <f t="shared" si="49"/>
        <v>0.25</v>
      </c>
      <c r="F45" s="25">
        <v>0.5</v>
      </c>
      <c r="G45" s="11">
        <v>0.75</v>
      </c>
      <c r="H45" s="11">
        <f t="shared" si="50"/>
        <v>0.25</v>
      </c>
      <c r="I45" s="17"/>
      <c r="J45" s="29"/>
      <c r="K45" s="11">
        <f t="shared" si="51"/>
        <v>0</v>
      </c>
      <c r="L45" s="11">
        <f t="shared" si="52"/>
        <v>0.5</v>
      </c>
    </row>
    <row r="46" spans="1:12">
      <c r="A46" s="3" t="s">
        <v>294</v>
      </c>
      <c r="B46" s="27" t="s">
        <v>295</v>
      </c>
      <c r="C46" s="11">
        <v>0</v>
      </c>
      <c r="D46" s="11">
        <v>0.25</v>
      </c>
      <c r="E46" s="11">
        <f t="shared" ref="E46:E51" si="53">IF(D46&gt;C46,D46-C46,C46-D46)</f>
        <v>0.25</v>
      </c>
      <c r="F46" s="25"/>
      <c r="G46" s="11"/>
      <c r="H46" s="11">
        <f t="shared" ref="H46:H51" si="54">IF(G46&gt;F46,G46-F46,F46-G46)</f>
        <v>0</v>
      </c>
      <c r="I46" s="17"/>
      <c r="J46" s="29"/>
      <c r="K46" s="11">
        <f t="shared" ref="K46:K51" si="55">IF(J46&gt;I46,J46-I46,I46-J46)</f>
        <v>0</v>
      </c>
      <c r="L46" s="11">
        <f t="shared" ref="L46:L47" si="56">E46+H46+K46</f>
        <v>0.25</v>
      </c>
    </row>
    <row r="47" spans="1:12">
      <c r="A47" s="3" t="s">
        <v>296</v>
      </c>
      <c r="B47" s="24" t="s">
        <v>297</v>
      </c>
      <c r="C47" s="11"/>
      <c r="D47" s="11"/>
      <c r="E47" s="11">
        <f t="shared" si="53"/>
        <v>0</v>
      </c>
      <c r="F47" s="25"/>
      <c r="G47" s="11"/>
      <c r="H47" s="11">
        <f t="shared" si="54"/>
        <v>0</v>
      </c>
      <c r="I47" s="17">
        <v>0.75</v>
      </c>
      <c r="J47" s="29">
        <v>1</v>
      </c>
      <c r="K47" s="11">
        <f t="shared" si="55"/>
        <v>0.25</v>
      </c>
      <c r="L47" s="11">
        <f t="shared" si="56"/>
        <v>0.25</v>
      </c>
    </row>
    <row r="48" spans="1:12">
      <c r="A48" s="3" t="s">
        <v>298</v>
      </c>
      <c r="B48" s="26" t="s">
        <v>299</v>
      </c>
      <c r="C48" s="11">
        <v>0.25</v>
      </c>
      <c r="D48" s="11">
        <v>0.5</v>
      </c>
      <c r="E48" s="11">
        <f t="shared" si="53"/>
        <v>0.25</v>
      </c>
      <c r="F48" s="25">
        <v>0.5</v>
      </c>
      <c r="G48" s="11">
        <v>0.75</v>
      </c>
      <c r="H48" s="11">
        <f t="shared" si="54"/>
        <v>0.25</v>
      </c>
      <c r="I48" s="17"/>
      <c r="J48" s="29"/>
      <c r="K48" s="11">
        <f t="shared" si="55"/>
        <v>0</v>
      </c>
      <c r="L48" s="11">
        <f t="shared" ref="L48:L50" si="57">E48+H48+K48</f>
        <v>0.5</v>
      </c>
    </row>
    <row r="49" spans="1:12">
      <c r="A49" s="3" t="s">
        <v>300</v>
      </c>
      <c r="B49" s="24" t="s">
        <v>301</v>
      </c>
      <c r="C49" s="11"/>
      <c r="D49" s="11"/>
      <c r="E49" s="11">
        <f t="shared" si="53"/>
        <v>0</v>
      </c>
      <c r="F49" s="25"/>
      <c r="G49" s="11"/>
      <c r="H49" s="11">
        <f t="shared" si="54"/>
        <v>0</v>
      </c>
      <c r="I49" s="17">
        <v>0.75</v>
      </c>
      <c r="J49" s="29">
        <v>1</v>
      </c>
      <c r="K49" s="11">
        <f t="shared" si="55"/>
        <v>0.25</v>
      </c>
      <c r="L49" s="11">
        <f t="shared" si="57"/>
        <v>0.25</v>
      </c>
    </row>
    <row r="50" spans="1:12">
      <c r="A50" s="3" t="s">
        <v>302</v>
      </c>
      <c r="B50" s="26" t="s">
        <v>124</v>
      </c>
      <c r="C50" s="11">
        <v>0.25</v>
      </c>
      <c r="D50" s="11">
        <v>0.5</v>
      </c>
      <c r="E50" s="11">
        <f t="shared" si="53"/>
        <v>0.25</v>
      </c>
      <c r="F50" s="25">
        <v>0.5</v>
      </c>
      <c r="G50" s="11">
        <v>0.75</v>
      </c>
      <c r="H50" s="11">
        <f t="shared" si="54"/>
        <v>0.25</v>
      </c>
      <c r="I50" s="17"/>
      <c r="J50" s="29"/>
      <c r="K50" s="11">
        <f t="shared" si="55"/>
        <v>0</v>
      </c>
      <c r="L50" s="11">
        <f t="shared" si="57"/>
        <v>0.5</v>
      </c>
    </row>
    <row r="51" spans="1:12">
      <c r="A51" s="3" t="s">
        <v>303</v>
      </c>
      <c r="B51" s="27" t="s">
        <v>119</v>
      </c>
      <c r="C51" s="11">
        <v>0</v>
      </c>
      <c r="D51" s="11">
        <v>0.25</v>
      </c>
      <c r="E51" s="11">
        <f t="shared" si="53"/>
        <v>0.25</v>
      </c>
      <c r="F51" s="25"/>
      <c r="G51" s="11"/>
      <c r="H51" s="11">
        <f t="shared" si="54"/>
        <v>0</v>
      </c>
      <c r="I51" s="17"/>
      <c r="J51" s="29"/>
      <c r="K51" s="11">
        <f t="shared" si="55"/>
        <v>0</v>
      </c>
      <c r="L51" s="11">
        <f t="shared" ref="L51:L53" si="58">E51+H51+K51</f>
        <v>0.25</v>
      </c>
    </row>
    <row r="52" spans="1:12">
      <c r="A52" s="3" t="s">
        <v>304</v>
      </c>
      <c r="B52" s="24" t="s">
        <v>305</v>
      </c>
      <c r="C52" s="11"/>
      <c r="D52" s="11"/>
      <c r="E52" s="11">
        <f t="shared" ref="E52:E53" si="59">IF(D52&gt;C52,D52-C52,C52-D52)</f>
        <v>0</v>
      </c>
      <c r="F52" s="25"/>
      <c r="G52" s="11"/>
      <c r="H52" s="11">
        <f t="shared" ref="H52:H53" si="60">IF(G52&gt;F52,G52-F52,F52-G52)</f>
        <v>0</v>
      </c>
      <c r="I52" s="17">
        <v>0.75</v>
      </c>
      <c r="J52" s="29">
        <v>1</v>
      </c>
      <c r="K52" s="11">
        <f t="shared" ref="K52:K53" si="61">IF(J52&gt;I52,J52-I52,I52-J52)</f>
        <v>0.25</v>
      </c>
      <c r="L52" s="11">
        <f t="shared" si="58"/>
        <v>0.25</v>
      </c>
    </row>
    <row r="53" spans="1:12">
      <c r="A53" s="3" t="s">
        <v>306</v>
      </c>
      <c r="B53" s="24" t="s">
        <v>307</v>
      </c>
      <c r="C53" s="11"/>
      <c r="D53" s="11"/>
      <c r="E53" s="11">
        <f t="shared" si="59"/>
        <v>0</v>
      </c>
      <c r="F53" s="25"/>
      <c r="G53" s="11"/>
      <c r="H53" s="11">
        <f t="shared" si="60"/>
        <v>0</v>
      </c>
      <c r="I53" s="17">
        <v>0.75</v>
      </c>
      <c r="J53" s="29">
        <v>1</v>
      </c>
      <c r="K53" s="11">
        <f t="shared" si="61"/>
        <v>0.25</v>
      </c>
      <c r="L53" s="11">
        <f t="shared" si="58"/>
        <v>0.25</v>
      </c>
    </row>
    <row r="54" spans="1:12">
      <c r="E54" s="15">
        <f>SUM(E42:E53)</f>
        <v>2</v>
      </c>
      <c r="F54" s="15"/>
      <c r="G54" s="15"/>
      <c r="H54" s="15">
        <f>SUM(H42:H53)</f>
        <v>1</v>
      </c>
      <c r="I54" s="15"/>
      <c r="J54" s="15"/>
      <c r="K54" s="15">
        <f>SUM(K42:K53)</f>
        <v>1</v>
      </c>
      <c r="L54" s="15">
        <f>SUM(L42:L53)</f>
        <v>4</v>
      </c>
    </row>
    <row r="56" spans="1:12">
      <c r="C56" s="2" t="s">
        <v>285</v>
      </c>
      <c r="G56" s="28" t="str">
        <f>+MAINTENANCE!G32</f>
        <v>JEUDI</v>
      </c>
      <c r="H56" s="6">
        <f>+H39+1</f>
        <v>46247</v>
      </c>
    </row>
    <row r="57" spans="1:12">
      <c r="C57" s="168" t="s">
        <v>3</v>
      </c>
      <c r="D57" s="168"/>
      <c r="E57" s="168"/>
      <c r="F57" s="169" t="s">
        <v>4</v>
      </c>
      <c r="G57" s="169"/>
      <c r="H57" s="169"/>
      <c r="I57" s="170" t="s">
        <v>5</v>
      </c>
      <c r="J57" s="170"/>
      <c r="K57" s="170"/>
    </row>
    <row r="58" spans="1:12">
      <c r="B58" s="7" t="s">
        <v>6</v>
      </c>
      <c r="C58" s="8" t="s">
        <v>7</v>
      </c>
      <c r="D58" s="8" t="s">
        <v>8</v>
      </c>
      <c r="E58" s="8" t="s">
        <v>9</v>
      </c>
      <c r="F58" s="9" t="s">
        <v>7</v>
      </c>
      <c r="G58" s="9" t="s">
        <v>8</v>
      </c>
      <c r="H58" s="9" t="s">
        <v>9</v>
      </c>
      <c r="I58" s="16" t="s">
        <v>7</v>
      </c>
      <c r="J58" s="16" t="s">
        <v>8</v>
      </c>
      <c r="K58" s="16" t="s">
        <v>9</v>
      </c>
      <c r="L58" s="7" t="s">
        <v>10</v>
      </c>
    </row>
    <row r="59" spans="1:12">
      <c r="A59" s="3" t="s">
        <v>286</v>
      </c>
      <c r="B59" s="24" t="s">
        <v>308</v>
      </c>
      <c r="C59" s="11"/>
      <c r="D59" s="11"/>
      <c r="E59" s="11">
        <f t="shared" ref="E59" si="62">IF(D59&gt;C59,D59-C59,C59-D59)</f>
        <v>0</v>
      </c>
      <c r="F59" s="25"/>
      <c r="G59" s="11"/>
      <c r="H59" s="11">
        <f t="shared" ref="H59" si="63">IF(G59&gt;F59,G59-F59,F59-G59)</f>
        <v>0</v>
      </c>
      <c r="I59" s="17">
        <v>0.75</v>
      </c>
      <c r="J59" s="29">
        <v>1</v>
      </c>
      <c r="K59" s="11">
        <f t="shared" ref="K59" si="64">IF(J59&gt;I59,J59-I59,I59-J59)</f>
        <v>0.25</v>
      </c>
      <c r="L59" s="11">
        <f t="shared" ref="L59" si="65">E59+H59+K59</f>
        <v>0.25</v>
      </c>
    </row>
    <row r="60" spans="1:12">
      <c r="A60" s="3" t="s">
        <v>288</v>
      </c>
      <c r="B60" s="26" t="s">
        <v>289</v>
      </c>
      <c r="C60" s="11">
        <v>0.25</v>
      </c>
      <c r="D60" s="11">
        <v>0.5</v>
      </c>
      <c r="E60" s="11">
        <f t="shared" ref="E60:E62" si="66">IF(D60&gt;C60,D60-C60,C60-D60)</f>
        <v>0.25</v>
      </c>
      <c r="F60" s="25">
        <v>0.5</v>
      </c>
      <c r="G60" s="11">
        <v>0.75</v>
      </c>
      <c r="H60" s="11">
        <f t="shared" ref="H60:H62" si="67">IF(G60&gt;F60,G60-F60,F60-G60)</f>
        <v>0.25</v>
      </c>
      <c r="I60" s="17"/>
      <c r="J60" s="29"/>
      <c r="K60" s="11">
        <f t="shared" ref="K60:K62" si="68">IF(J60&gt;I60,J60-I60,I60-J60)</f>
        <v>0</v>
      </c>
      <c r="L60" s="11">
        <f t="shared" ref="L60:L62" si="69">E60+H60+K60</f>
        <v>0.5</v>
      </c>
    </row>
    <row r="61" spans="1:12">
      <c r="A61" s="3" t="s">
        <v>290</v>
      </c>
      <c r="B61" s="26" t="s">
        <v>291</v>
      </c>
      <c r="C61" s="11">
        <v>0.25</v>
      </c>
      <c r="D61" s="11">
        <v>0.5</v>
      </c>
      <c r="E61" s="11">
        <f t="shared" si="66"/>
        <v>0.25</v>
      </c>
      <c r="F61" s="25">
        <v>0.5</v>
      </c>
      <c r="G61" s="11">
        <v>0.75</v>
      </c>
      <c r="H61" s="11">
        <f t="shared" si="67"/>
        <v>0.25</v>
      </c>
      <c r="I61" s="17"/>
      <c r="J61" s="29"/>
      <c r="K61" s="11">
        <f t="shared" si="68"/>
        <v>0</v>
      </c>
      <c r="L61" s="11">
        <f t="shared" si="69"/>
        <v>0.5</v>
      </c>
    </row>
    <row r="62" spans="1:12">
      <c r="A62" s="3" t="s">
        <v>292</v>
      </c>
      <c r="B62" s="24" t="s">
        <v>293</v>
      </c>
      <c r="C62" s="11"/>
      <c r="D62" s="11"/>
      <c r="E62" s="11">
        <f t="shared" si="66"/>
        <v>0</v>
      </c>
      <c r="F62" s="25"/>
      <c r="G62" s="11"/>
      <c r="H62" s="11">
        <f t="shared" si="67"/>
        <v>0</v>
      </c>
      <c r="I62" s="17">
        <v>0.75</v>
      </c>
      <c r="J62" s="29">
        <v>1</v>
      </c>
      <c r="K62" s="11">
        <f t="shared" si="68"/>
        <v>0.25</v>
      </c>
      <c r="L62" s="11">
        <f t="shared" si="69"/>
        <v>0.25</v>
      </c>
    </row>
    <row r="63" spans="1:12">
      <c r="A63" s="3" t="s">
        <v>294</v>
      </c>
      <c r="B63" s="26" t="s">
        <v>295</v>
      </c>
      <c r="C63" s="11">
        <v>0.25</v>
      </c>
      <c r="D63" s="11">
        <v>0.5</v>
      </c>
      <c r="E63" s="11">
        <f t="shared" ref="E63:E70" si="70">IF(D63&gt;C63,D63-C63,C63-D63)</f>
        <v>0.25</v>
      </c>
      <c r="F63" s="25">
        <v>0.5</v>
      </c>
      <c r="G63" s="11">
        <v>0.75</v>
      </c>
      <c r="H63" s="11">
        <f t="shared" ref="H63:H70" si="71">IF(G63&gt;F63,G63-F63,F63-G63)</f>
        <v>0.25</v>
      </c>
      <c r="I63" s="17"/>
      <c r="J63" s="29"/>
      <c r="K63" s="11">
        <f t="shared" ref="K63:K70" si="72">IF(J63&gt;I63,J63-I63,I63-J63)</f>
        <v>0</v>
      </c>
      <c r="L63" s="11">
        <f t="shared" ref="L63" si="73">E63+H63+K63</f>
        <v>0.5</v>
      </c>
    </row>
    <row r="64" spans="1:12">
      <c r="A64" s="3" t="s">
        <v>296</v>
      </c>
      <c r="B64" s="27" t="s">
        <v>297</v>
      </c>
      <c r="C64" s="11">
        <v>0</v>
      </c>
      <c r="D64" s="11">
        <v>0.25</v>
      </c>
      <c r="E64" s="11">
        <f t="shared" si="70"/>
        <v>0.25</v>
      </c>
      <c r="F64" s="25"/>
      <c r="G64" s="11"/>
      <c r="H64" s="11">
        <f t="shared" ref="H64:H68" si="74">IF(G64&gt;F64,G64-F64,F64-G64)</f>
        <v>0</v>
      </c>
      <c r="I64" s="17"/>
      <c r="J64" s="29"/>
      <c r="K64" s="11">
        <f t="shared" si="72"/>
        <v>0</v>
      </c>
      <c r="L64" s="11">
        <f t="shared" ref="L64:L65" si="75">E64+H64+K64</f>
        <v>0.25</v>
      </c>
    </row>
    <row r="65" spans="1:12">
      <c r="A65" s="3" t="s">
        <v>298</v>
      </c>
      <c r="B65" s="24" t="s">
        <v>299</v>
      </c>
      <c r="C65" s="11"/>
      <c r="D65" s="11"/>
      <c r="E65" s="11">
        <f t="shared" si="70"/>
        <v>0</v>
      </c>
      <c r="F65" s="25"/>
      <c r="G65" s="11"/>
      <c r="H65" s="11">
        <f t="shared" si="74"/>
        <v>0</v>
      </c>
      <c r="I65" s="17">
        <v>0.75</v>
      </c>
      <c r="J65" s="29">
        <v>1</v>
      </c>
      <c r="K65" s="11">
        <f t="shared" si="72"/>
        <v>0.25</v>
      </c>
      <c r="L65" s="11">
        <f t="shared" si="75"/>
        <v>0.25</v>
      </c>
    </row>
    <row r="66" spans="1:12">
      <c r="A66" s="3" t="s">
        <v>300</v>
      </c>
      <c r="B66" s="27" t="s">
        <v>301</v>
      </c>
      <c r="C66" s="11">
        <v>0</v>
      </c>
      <c r="D66" s="11">
        <v>0.25</v>
      </c>
      <c r="E66" s="11">
        <f t="shared" si="70"/>
        <v>0.25</v>
      </c>
      <c r="F66" s="25"/>
      <c r="G66" s="11"/>
      <c r="H66" s="11">
        <f t="shared" si="74"/>
        <v>0</v>
      </c>
      <c r="I66" s="17"/>
      <c r="J66" s="29"/>
      <c r="K66" s="11">
        <f t="shared" si="72"/>
        <v>0</v>
      </c>
      <c r="L66" s="11">
        <f t="shared" ref="L66:L68" si="76">E66+H66+K66</f>
        <v>0.25</v>
      </c>
    </row>
    <row r="67" spans="1:12">
      <c r="A67" s="3" t="s">
        <v>302</v>
      </c>
      <c r="B67" s="24" t="s">
        <v>124</v>
      </c>
      <c r="C67" s="11"/>
      <c r="D67" s="11"/>
      <c r="E67" s="11">
        <f t="shared" si="70"/>
        <v>0</v>
      </c>
      <c r="F67" s="25"/>
      <c r="G67" s="11"/>
      <c r="H67" s="11">
        <f t="shared" si="74"/>
        <v>0</v>
      </c>
      <c r="I67" s="17">
        <v>0.75</v>
      </c>
      <c r="J67" s="29">
        <v>1</v>
      </c>
      <c r="K67" s="11">
        <f t="shared" si="72"/>
        <v>0.25</v>
      </c>
      <c r="L67" s="11">
        <f t="shared" si="76"/>
        <v>0.25</v>
      </c>
    </row>
    <row r="68" spans="1:12">
      <c r="A68" s="3" t="s">
        <v>303</v>
      </c>
      <c r="B68" s="26" t="s">
        <v>119</v>
      </c>
      <c r="C68" s="11">
        <v>0.25</v>
      </c>
      <c r="D68" s="11">
        <v>0.5</v>
      </c>
      <c r="E68" s="11">
        <f t="shared" si="70"/>
        <v>0.25</v>
      </c>
      <c r="F68" s="25">
        <v>0.5</v>
      </c>
      <c r="G68" s="11">
        <v>0.75</v>
      </c>
      <c r="H68" s="11">
        <f t="shared" si="74"/>
        <v>0.25</v>
      </c>
      <c r="I68" s="17"/>
      <c r="J68" s="29"/>
      <c r="K68" s="11">
        <f t="shared" si="72"/>
        <v>0</v>
      </c>
      <c r="L68" s="11">
        <f t="shared" si="76"/>
        <v>0.5</v>
      </c>
    </row>
    <row r="69" spans="1:12">
      <c r="A69" s="3" t="s">
        <v>304</v>
      </c>
      <c r="B69" s="27" t="s">
        <v>305</v>
      </c>
      <c r="C69" s="11">
        <v>0</v>
      </c>
      <c r="D69" s="11">
        <v>0.25</v>
      </c>
      <c r="E69" s="11">
        <f t="shared" si="70"/>
        <v>0.25</v>
      </c>
      <c r="F69" s="25"/>
      <c r="G69" s="11"/>
      <c r="H69" s="11">
        <f t="shared" si="71"/>
        <v>0</v>
      </c>
      <c r="I69" s="17"/>
      <c r="J69" s="29"/>
      <c r="K69" s="11">
        <f t="shared" si="72"/>
        <v>0</v>
      </c>
      <c r="L69" s="11">
        <f t="shared" ref="L69:L70" si="77">E69+H69+K69</f>
        <v>0.25</v>
      </c>
    </row>
    <row r="70" spans="1:12">
      <c r="A70" s="3" t="s">
        <v>306</v>
      </c>
      <c r="B70" s="27" t="s">
        <v>307</v>
      </c>
      <c r="C70" s="11">
        <v>0</v>
      </c>
      <c r="D70" s="11">
        <v>0.25</v>
      </c>
      <c r="E70" s="11">
        <f t="shared" si="70"/>
        <v>0.25</v>
      </c>
      <c r="F70" s="25"/>
      <c r="G70" s="11"/>
      <c r="H70" s="11">
        <f t="shared" si="71"/>
        <v>0</v>
      </c>
      <c r="I70" s="17"/>
      <c r="J70" s="29"/>
      <c r="K70" s="11">
        <f t="shared" si="72"/>
        <v>0</v>
      </c>
      <c r="L70" s="11">
        <f t="shared" si="77"/>
        <v>0.25</v>
      </c>
    </row>
    <row r="71" spans="1:12">
      <c r="E71" s="15">
        <f>SUM(E59:E70)</f>
        <v>2</v>
      </c>
      <c r="F71" s="15"/>
      <c r="G71" s="15"/>
      <c r="H71" s="15">
        <f>SUM(H59:H70)</f>
        <v>1</v>
      </c>
      <c r="I71" s="15"/>
      <c r="J71" s="15"/>
      <c r="K71" s="15">
        <f>SUM(K59:K70)</f>
        <v>1</v>
      </c>
      <c r="L71" s="15">
        <f>SUM(L59:L70)</f>
        <v>4</v>
      </c>
    </row>
    <row r="73" spans="1:12">
      <c r="C73" s="2" t="s">
        <v>285</v>
      </c>
      <c r="G73" s="28" t="str">
        <f>+MAINTENANCE!G41</f>
        <v>VENDREDI</v>
      </c>
      <c r="H73" s="6">
        <f>+H56+1</f>
        <v>46248</v>
      </c>
    </row>
    <row r="74" spans="1:12">
      <c r="C74" s="168" t="s">
        <v>3</v>
      </c>
      <c r="D74" s="168"/>
      <c r="E74" s="168"/>
      <c r="F74" s="169" t="s">
        <v>4</v>
      </c>
      <c r="G74" s="169"/>
      <c r="H74" s="169"/>
      <c r="I74" s="170" t="s">
        <v>5</v>
      </c>
      <c r="J74" s="170"/>
      <c r="K74" s="170"/>
    </row>
    <row r="75" spans="1:12">
      <c r="B75" s="7" t="s">
        <v>6</v>
      </c>
      <c r="C75" s="8" t="s">
        <v>7</v>
      </c>
      <c r="D75" s="8" t="s">
        <v>8</v>
      </c>
      <c r="E75" s="8" t="s">
        <v>9</v>
      </c>
      <c r="F75" s="9" t="s">
        <v>7</v>
      </c>
      <c r="G75" s="9" t="s">
        <v>8</v>
      </c>
      <c r="H75" s="9" t="s">
        <v>9</v>
      </c>
      <c r="I75" s="16" t="s">
        <v>7</v>
      </c>
      <c r="J75" s="16" t="s">
        <v>8</v>
      </c>
      <c r="K75" s="16" t="s">
        <v>9</v>
      </c>
      <c r="L75" s="7" t="s">
        <v>10</v>
      </c>
    </row>
    <row r="76" spans="1:12">
      <c r="A76" s="3" t="s">
        <v>286</v>
      </c>
      <c r="B76" s="27" t="s">
        <v>308</v>
      </c>
      <c r="C76" s="11">
        <v>0</v>
      </c>
      <c r="D76" s="11">
        <v>0.25</v>
      </c>
      <c r="E76" s="11">
        <f t="shared" ref="E76:E78" si="78">IF(D76&gt;C76,D76-C76,C76-D76)</f>
        <v>0.25</v>
      </c>
      <c r="F76" s="25"/>
      <c r="G76" s="11"/>
      <c r="H76" s="11">
        <f t="shared" ref="H76:H78" si="79">IF(G76&gt;F76,G76-F76,F76-G76)</f>
        <v>0</v>
      </c>
      <c r="I76" s="17"/>
      <c r="J76" s="29"/>
      <c r="K76" s="11">
        <f t="shared" ref="K76:K78" si="80">IF(J76&gt;I76,J76-I76,I76-J76)</f>
        <v>0</v>
      </c>
      <c r="L76" s="11">
        <f t="shared" ref="L76:L78" si="81">E76+H76+K76</f>
        <v>0.25</v>
      </c>
    </row>
    <row r="77" spans="1:12">
      <c r="A77" s="3" t="s">
        <v>288</v>
      </c>
      <c r="B77" s="24" t="s">
        <v>289</v>
      </c>
      <c r="C77" s="11"/>
      <c r="D77" s="11"/>
      <c r="E77" s="11">
        <f t="shared" si="78"/>
        <v>0</v>
      </c>
      <c r="F77" s="25"/>
      <c r="G77" s="11"/>
      <c r="H77" s="11">
        <f t="shared" si="79"/>
        <v>0</v>
      </c>
      <c r="I77" s="17">
        <v>0.75</v>
      </c>
      <c r="J77" s="29">
        <v>1</v>
      </c>
      <c r="K77" s="11">
        <f t="shared" si="80"/>
        <v>0.25</v>
      </c>
      <c r="L77" s="11">
        <f t="shared" si="81"/>
        <v>0.25</v>
      </c>
    </row>
    <row r="78" spans="1:12">
      <c r="A78" s="3" t="s">
        <v>290</v>
      </c>
      <c r="B78" s="24" t="s">
        <v>291</v>
      </c>
      <c r="C78" s="11"/>
      <c r="D78" s="11"/>
      <c r="E78" s="11">
        <f t="shared" si="78"/>
        <v>0</v>
      </c>
      <c r="F78" s="25"/>
      <c r="G78" s="11"/>
      <c r="H78" s="11">
        <f t="shared" si="79"/>
        <v>0</v>
      </c>
      <c r="I78" s="17">
        <v>0.75</v>
      </c>
      <c r="J78" s="29">
        <v>1</v>
      </c>
      <c r="K78" s="11">
        <f t="shared" si="80"/>
        <v>0.25</v>
      </c>
      <c r="L78" s="11">
        <f t="shared" si="81"/>
        <v>0.25</v>
      </c>
    </row>
    <row r="79" spans="1:12">
      <c r="A79" s="3" t="s">
        <v>292</v>
      </c>
      <c r="B79" s="27" t="s">
        <v>293</v>
      </c>
      <c r="C79" s="11">
        <v>0</v>
      </c>
      <c r="D79" s="11">
        <v>0.25</v>
      </c>
      <c r="E79" s="11">
        <f t="shared" ref="E79:E85" si="82">IF(D79&gt;C79,D79-C79,C79-D79)</f>
        <v>0.25</v>
      </c>
      <c r="F79" s="25"/>
      <c r="G79" s="11"/>
      <c r="H79" s="11">
        <f t="shared" ref="H79:H85" si="83">IF(G79&gt;F79,G79-F79,F79-G79)</f>
        <v>0</v>
      </c>
      <c r="I79" s="17"/>
      <c r="J79" s="29"/>
      <c r="K79" s="11">
        <f t="shared" ref="K79:K85" si="84">IF(J79&gt;I79,J79-I79,I79-J79)</f>
        <v>0</v>
      </c>
      <c r="L79" s="11">
        <f t="shared" ref="L79:L80" si="85">E79+H79+K79</f>
        <v>0.25</v>
      </c>
    </row>
    <row r="80" spans="1:12">
      <c r="A80" s="3" t="s">
        <v>294</v>
      </c>
      <c r="B80" s="24" t="s">
        <v>295</v>
      </c>
      <c r="C80" s="11"/>
      <c r="D80" s="11"/>
      <c r="E80" s="11">
        <f t="shared" si="82"/>
        <v>0</v>
      </c>
      <c r="F80" s="25"/>
      <c r="G80" s="11"/>
      <c r="H80" s="11">
        <f t="shared" si="83"/>
        <v>0</v>
      </c>
      <c r="I80" s="17">
        <v>0.75</v>
      </c>
      <c r="J80" s="29">
        <v>1</v>
      </c>
      <c r="K80" s="11">
        <f t="shared" si="84"/>
        <v>0.25</v>
      </c>
      <c r="L80" s="11">
        <f t="shared" si="85"/>
        <v>0.25</v>
      </c>
    </row>
    <row r="81" spans="1:12">
      <c r="A81" s="3" t="s">
        <v>296</v>
      </c>
      <c r="B81" s="26" t="s">
        <v>297</v>
      </c>
      <c r="C81" s="11">
        <v>0.25</v>
      </c>
      <c r="D81" s="11">
        <v>0.5</v>
      </c>
      <c r="E81" s="11">
        <f t="shared" ref="E81" si="86">IF(D81&gt;C81,D81-C81,C81-D81)</f>
        <v>0.25</v>
      </c>
      <c r="F81" s="25">
        <v>0.5</v>
      </c>
      <c r="G81" s="11">
        <v>0.75</v>
      </c>
      <c r="H81" s="11">
        <f t="shared" ref="H81" si="87">IF(G81&gt;F81,G81-F81,F81-G81)</f>
        <v>0.25</v>
      </c>
      <c r="I81" s="17"/>
      <c r="J81" s="29"/>
      <c r="K81" s="11">
        <f t="shared" ref="K81" si="88">IF(J81&gt;I81,J81-I81,I81-J81)</f>
        <v>0</v>
      </c>
      <c r="L81" s="11">
        <f t="shared" ref="L81" si="89">E81+H81+K81</f>
        <v>0.5</v>
      </c>
    </row>
    <row r="82" spans="1:12">
      <c r="A82" s="3" t="s">
        <v>298</v>
      </c>
      <c r="B82" s="27" t="s">
        <v>299</v>
      </c>
      <c r="C82" s="11">
        <v>0</v>
      </c>
      <c r="D82" s="11">
        <v>0.25</v>
      </c>
      <c r="E82" s="11">
        <f t="shared" si="82"/>
        <v>0.25</v>
      </c>
      <c r="F82" s="25"/>
      <c r="G82" s="11"/>
      <c r="H82" s="11">
        <f t="shared" si="83"/>
        <v>0</v>
      </c>
      <c r="I82" s="17"/>
      <c r="J82" s="29"/>
      <c r="K82" s="11">
        <f t="shared" si="84"/>
        <v>0</v>
      </c>
      <c r="L82" s="11">
        <f t="shared" ref="L82:L83" si="90">E82+H82+K82</f>
        <v>0.25</v>
      </c>
    </row>
    <row r="83" spans="1:12">
      <c r="A83" s="3" t="s">
        <v>300</v>
      </c>
      <c r="B83" s="26" t="s">
        <v>301</v>
      </c>
      <c r="C83" s="11">
        <v>0.25</v>
      </c>
      <c r="D83" s="11">
        <v>0.5</v>
      </c>
      <c r="E83" s="11">
        <f t="shared" ref="E83" si="91">IF(D83&gt;C83,D83-C83,C83-D83)</f>
        <v>0.25</v>
      </c>
      <c r="F83" s="25">
        <v>0.5</v>
      </c>
      <c r="G83" s="11">
        <v>0.75</v>
      </c>
      <c r="H83" s="11">
        <f t="shared" ref="H83" si="92">IF(G83&gt;F83,G83-F83,F83-G83)</f>
        <v>0.25</v>
      </c>
      <c r="I83" s="17"/>
      <c r="J83" s="29"/>
      <c r="K83" s="11">
        <f t="shared" ref="K83" si="93">IF(J83&gt;I83,J83-I83,I83-J83)</f>
        <v>0</v>
      </c>
      <c r="L83" s="11">
        <f t="shared" si="90"/>
        <v>0.5</v>
      </c>
    </row>
    <row r="84" spans="1:12">
      <c r="A84" s="3" t="s">
        <v>302</v>
      </c>
      <c r="B84" s="27" t="s">
        <v>124</v>
      </c>
      <c r="C84" s="11">
        <v>0</v>
      </c>
      <c r="D84" s="11">
        <v>0.25</v>
      </c>
      <c r="E84" s="11">
        <f t="shared" si="82"/>
        <v>0.25</v>
      </c>
      <c r="F84" s="25"/>
      <c r="G84" s="11"/>
      <c r="H84" s="11">
        <f t="shared" si="83"/>
        <v>0</v>
      </c>
      <c r="I84" s="17"/>
      <c r="J84" s="29"/>
      <c r="K84" s="11">
        <f t="shared" si="84"/>
        <v>0</v>
      </c>
      <c r="L84" s="11">
        <f t="shared" ref="L84:L85" si="94">E84+H84+K84</f>
        <v>0.25</v>
      </c>
    </row>
    <row r="85" spans="1:12">
      <c r="A85" s="3" t="s">
        <v>303</v>
      </c>
      <c r="B85" s="24" t="s">
        <v>119</v>
      </c>
      <c r="C85" s="11"/>
      <c r="D85" s="11"/>
      <c r="E85" s="11">
        <f t="shared" si="82"/>
        <v>0</v>
      </c>
      <c r="F85" s="25"/>
      <c r="G85" s="11"/>
      <c r="H85" s="11">
        <f t="shared" si="83"/>
        <v>0</v>
      </c>
      <c r="I85" s="17">
        <v>0.75</v>
      </c>
      <c r="J85" s="29">
        <v>1</v>
      </c>
      <c r="K85" s="11">
        <f t="shared" si="84"/>
        <v>0.25</v>
      </c>
      <c r="L85" s="11">
        <f t="shared" si="94"/>
        <v>0.25</v>
      </c>
    </row>
    <row r="86" spans="1:12">
      <c r="A86" s="3" t="s">
        <v>304</v>
      </c>
      <c r="B86" s="26" t="s">
        <v>305</v>
      </c>
      <c r="C86" s="11">
        <v>0.25</v>
      </c>
      <c r="D86" s="11">
        <v>0.5</v>
      </c>
      <c r="E86" s="11">
        <f t="shared" ref="E86:E87" si="95">IF(D86&gt;C86,D86-C86,C86-D86)</f>
        <v>0.25</v>
      </c>
      <c r="F86" s="25">
        <v>0.5</v>
      </c>
      <c r="G86" s="11">
        <v>0.75</v>
      </c>
      <c r="H86" s="11">
        <f t="shared" ref="H86:H87" si="96">IF(G86&gt;F86,G86-F86,F86-G86)</f>
        <v>0.25</v>
      </c>
      <c r="I86" s="17"/>
      <c r="J86" s="29"/>
      <c r="K86" s="11">
        <f t="shared" ref="K86:K87" si="97">IF(J86&gt;I86,J86-I86,I86-J86)</f>
        <v>0</v>
      </c>
      <c r="L86" s="11">
        <f t="shared" ref="L86:L87" si="98">E86+H86+K86</f>
        <v>0.5</v>
      </c>
    </row>
    <row r="87" spans="1:12">
      <c r="A87" s="3" t="s">
        <v>306</v>
      </c>
      <c r="B87" s="26" t="s">
        <v>307</v>
      </c>
      <c r="C87" s="11">
        <v>0.25</v>
      </c>
      <c r="D87" s="11">
        <v>0.5</v>
      </c>
      <c r="E87" s="11">
        <f t="shared" si="95"/>
        <v>0.25</v>
      </c>
      <c r="F87" s="25">
        <v>0.5</v>
      </c>
      <c r="G87" s="11">
        <v>0.75</v>
      </c>
      <c r="H87" s="11">
        <f t="shared" si="96"/>
        <v>0.25</v>
      </c>
      <c r="I87" s="17"/>
      <c r="J87" s="29"/>
      <c r="K87" s="11">
        <f t="shared" si="97"/>
        <v>0</v>
      </c>
      <c r="L87" s="11">
        <f t="shared" si="98"/>
        <v>0.5</v>
      </c>
    </row>
    <row r="88" spans="1:12">
      <c r="E88" s="15">
        <f>SUM(E76:E87)</f>
        <v>2</v>
      </c>
      <c r="F88" s="15"/>
      <c r="G88" s="15"/>
      <c r="H88" s="15">
        <f>SUM(H76:H87)</f>
        <v>1</v>
      </c>
      <c r="I88" s="15"/>
      <c r="J88" s="15"/>
      <c r="K88" s="15">
        <f>SUM(K76:K87)</f>
        <v>1</v>
      </c>
      <c r="L88" s="15">
        <f>SUM(L76:L87)</f>
        <v>4</v>
      </c>
    </row>
    <row r="90" spans="1:12">
      <c r="C90" s="2" t="s">
        <v>285</v>
      </c>
      <c r="G90" s="28" t="str">
        <f>+MAINTENANCE!G50</f>
        <v>SAMEDI</v>
      </c>
      <c r="H90" s="6">
        <f>+H73+1</f>
        <v>46249</v>
      </c>
    </row>
    <row r="91" spans="1:12">
      <c r="C91" s="168" t="s">
        <v>3</v>
      </c>
      <c r="D91" s="168"/>
      <c r="E91" s="168"/>
      <c r="F91" s="169" t="s">
        <v>4</v>
      </c>
      <c r="G91" s="169"/>
      <c r="H91" s="169"/>
      <c r="I91" s="170" t="s">
        <v>5</v>
      </c>
      <c r="J91" s="170"/>
      <c r="K91" s="170"/>
    </row>
    <row r="92" spans="1:12">
      <c r="B92" s="7" t="s">
        <v>6</v>
      </c>
      <c r="C92" s="8" t="s">
        <v>7</v>
      </c>
      <c r="D92" s="8" t="s">
        <v>8</v>
      </c>
      <c r="E92" s="8" t="s">
        <v>9</v>
      </c>
      <c r="F92" s="9" t="s">
        <v>7</v>
      </c>
      <c r="G92" s="9" t="s">
        <v>8</v>
      </c>
      <c r="H92" s="9" t="s">
        <v>9</v>
      </c>
      <c r="I92" s="16" t="s">
        <v>7</v>
      </c>
      <c r="J92" s="16" t="s">
        <v>8</v>
      </c>
      <c r="K92" s="16" t="s">
        <v>9</v>
      </c>
      <c r="L92" s="7" t="s">
        <v>10</v>
      </c>
    </row>
    <row r="93" spans="1:12">
      <c r="A93" s="3" t="s">
        <v>286</v>
      </c>
      <c r="B93" s="26" t="s">
        <v>308</v>
      </c>
      <c r="C93" s="11">
        <v>0.25</v>
      </c>
      <c r="D93" s="11">
        <v>0.5</v>
      </c>
      <c r="E93" s="11">
        <f t="shared" ref="E93" si="99">IF(D93&gt;C93,D93-C93,C93-D93)</f>
        <v>0.25</v>
      </c>
      <c r="F93" s="25">
        <v>0.5</v>
      </c>
      <c r="G93" s="11">
        <v>0.75</v>
      </c>
      <c r="H93" s="11">
        <f t="shared" ref="H93" si="100">IF(G93&gt;F93,G93-F93,F93-G93)</f>
        <v>0.25</v>
      </c>
      <c r="I93" s="17"/>
      <c r="J93" s="29"/>
      <c r="K93" s="11">
        <f t="shared" ref="K93" si="101">IF(J93&gt;I93,J93-I93,I93-J93)</f>
        <v>0</v>
      </c>
      <c r="L93" s="11">
        <f t="shared" ref="L93" si="102">E93+H93+K93</f>
        <v>0.5</v>
      </c>
    </row>
    <row r="94" spans="1:12">
      <c r="A94" s="3" t="s">
        <v>288</v>
      </c>
      <c r="B94" s="27" t="s">
        <v>289</v>
      </c>
      <c r="C94" s="11">
        <v>0</v>
      </c>
      <c r="D94" s="11">
        <v>0.25</v>
      </c>
      <c r="E94" s="11">
        <f t="shared" ref="E94:E96" si="103">IF(D94&gt;C94,D94-C94,C94-D94)</f>
        <v>0.25</v>
      </c>
      <c r="F94" s="25"/>
      <c r="G94" s="11"/>
      <c r="H94" s="11">
        <f t="shared" ref="H94:H96" si="104">IF(G94&gt;F94,G94-F94,F94-G94)</f>
        <v>0</v>
      </c>
      <c r="I94" s="17"/>
      <c r="J94" s="29"/>
      <c r="K94" s="11">
        <f t="shared" ref="K94:K96" si="105">IF(J94&gt;I94,J94-I94,I94-J94)</f>
        <v>0</v>
      </c>
      <c r="L94" s="11">
        <f t="shared" ref="L94:L96" si="106">E94+H94+K94</f>
        <v>0.25</v>
      </c>
    </row>
    <row r="95" spans="1:12">
      <c r="A95" s="3" t="s">
        <v>290</v>
      </c>
      <c r="B95" s="27" t="s">
        <v>291</v>
      </c>
      <c r="C95" s="11">
        <v>0</v>
      </c>
      <c r="D95" s="11">
        <v>0.25</v>
      </c>
      <c r="E95" s="11">
        <f t="shared" si="103"/>
        <v>0.25</v>
      </c>
      <c r="F95" s="25"/>
      <c r="G95" s="11"/>
      <c r="H95" s="11">
        <f t="shared" si="104"/>
        <v>0</v>
      </c>
      <c r="I95" s="17"/>
      <c r="J95" s="29"/>
      <c r="K95" s="11">
        <f t="shared" si="105"/>
        <v>0</v>
      </c>
      <c r="L95" s="11">
        <f t="shared" si="106"/>
        <v>0.25</v>
      </c>
    </row>
    <row r="96" spans="1:12">
      <c r="A96" s="3" t="s">
        <v>292</v>
      </c>
      <c r="B96" s="26" t="s">
        <v>293</v>
      </c>
      <c r="C96" s="11">
        <v>0.25</v>
      </c>
      <c r="D96" s="11">
        <v>0.5</v>
      </c>
      <c r="E96" s="11">
        <f t="shared" si="103"/>
        <v>0.25</v>
      </c>
      <c r="F96" s="25">
        <v>0.5</v>
      </c>
      <c r="G96" s="11">
        <v>0.75</v>
      </c>
      <c r="H96" s="11">
        <f t="shared" si="104"/>
        <v>0.25</v>
      </c>
      <c r="I96" s="17"/>
      <c r="J96" s="29"/>
      <c r="K96" s="11">
        <f t="shared" si="105"/>
        <v>0</v>
      </c>
      <c r="L96" s="11">
        <f t="shared" si="106"/>
        <v>0.5</v>
      </c>
    </row>
    <row r="97" spans="1:12">
      <c r="A97" s="3" t="s">
        <v>294</v>
      </c>
      <c r="B97" s="27" t="s">
        <v>295</v>
      </c>
      <c r="C97" s="11">
        <v>0</v>
      </c>
      <c r="D97" s="11">
        <v>0.25</v>
      </c>
      <c r="E97" s="11">
        <f t="shared" ref="E97:E104" si="107">IF(D97&gt;C97,D97-C97,C97-D97)</f>
        <v>0.25</v>
      </c>
      <c r="F97" s="25"/>
      <c r="G97" s="11"/>
      <c r="H97" s="11">
        <f t="shared" ref="H97:H98" si="108">IF(G97&gt;F97,G97-F97,F97-G97)</f>
        <v>0</v>
      </c>
      <c r="I97" s="17"/>
      <c r="J97" s="29"/>
      <c r="K97" s="11">
        <f t="shared" ref="K97:K98" si="109">IF(J97&gt;I97,J97-I97,I97-J97)</f>
        <v>0</v>
      </c>
      <c r="L97" s="11">
        <f t="shared" ref="L97:L98" si="110">E97+H97+K97</f>
        <v>0.25</v>
      </c>
    </row>
    <row r="98" spans="1:12">
      <c r="A98" s="3" t="s">
        <v>296</v>
      </c>
      <c r="B98" s="24" t="s">
        <v>297</v>
      </c>
      <c r="C98" s="11"/>
      <c r="D98" s="11"/>
      <c r="E98" s="11">
        <f t="shared" si="107"/>
        <v>0</v>
      </c>
      <c r="F98" s="25"/>
      <c r="G98" s="11"/>
      <c r="H98" s="11">
        <f t="shared" si="108"/>
        <v>0</v>
      </c>
      <c r="I98" s="17">
        <v>0.75</v>
      </c>
      <c r="J98" s="29">
        <v>1</v>
      </c>
      <c r="K98" s="11">
        <f t="shared" si="109"/>
        <v>0.25</v>
      </c>
      <c r="L98" s="11">
        <f t="shared" si="110"/>
        <v>0.25</v>
      </c>
    </row>
    <row r="99" spans="1:12">
      <c r="A99" s="3" t="s">
        <v>298</v>
      </c>
      <c r="B99" s="26" t="s">
        <v>299</v>
      </c>
      <c r="C99" s="11">
        <v>0.25</v>
      </c>
      <c r="D99" s="11">
        <v>0.5</v>
      </c>
      <c r="E99" s="11">
        <f t="shared" ref="E99:E100" si="111">IF(D99&gt;C99,D99-C99,C99-D99)</f>
        <v>0.25</v>
      </c>
      <c r="F99" s="25">
        <v>0.5</v>
      </c>
      <c r="G99" s="11">
        <v>0.75</v>
      </c>
      <c r="H99" s="11">
        <f t="shared" ref="H99:H100" si="112">IF(G99&gt;F99,G99-F99,F99-G99)</f>
        <v>0.25</v>
      </c>
      <c r="I99" s="17"/>
      <c r="J99" s="29"/>
      <c r="K99" s="11">
        <f t="shared" ref="K99:K100" si="113">IF(J99&gt;I99,J99-I99,I99-J99)</f>
        <v>0</v>
      </c>
      <c r="L99" s="11">
        <f t="shared" ref="L99:L100" si="114">E99+H99+K99</f>
        <v>0.5</v>
      </c>
    </row>
    <row r="100" spans="1:12">
      <c r="A100" s="3" t="s">
        <v>300</v>
      </c>
      <c r="B100" s="24" t="s">
        <v>301</v>
      </c>
      <c r="C100" s="11"/>
      <c r="D100" s="11"/>
      <c r="E100" s="11">
        <f t="shared" si="111"/>
        <v>0</v>
      </c>
      <c r="F100" s="25"/>
      <c r="G100" s="11"/>
      <c r="H100" s="11">
        <f t="shared" si="112"/>
        <v>0</v>
      </c>
      <c r="I100" s="17">
        <v>0.75</v>
      </c>
      <c r="J100" s="29">
        <v>1</v>
      </c>
      <c r="K100" s="11">
        <f t="shared" si="113"/>
        <v>0.25</v>
      </c>
      <c r="L100" s="11">
        <f t="shared" si="114"/>
        <v>0.25</v>
      </c>
    </row>
    <row r="101" spans="1:12">
      <c r="A101" s="3" t="s">
        <v>302</v>
      </c>
      <c r="B101" s="26" t="s">
        <v>124</v>
      </c>
      <c r="C101" s="11">
        <v>0.25</v>
      </c>
      <c r="D101" s="11">
        <v>0.5</v>
      </c>
      <c r="E101" s="11">
        <f t="shared" ref="E101" si="115">IF(D101&gt;C101,D101-C101,C101-D101)</f>
        <v>0.25</v>
      </c>
      <c r="F101" s="25">
        <v>0.5</v>
      </c>
      <c r="G101" s="11">
        <v>0.75</v>
      </c>
      <c r="H101" s="11">
        <f t="shared" ref="H101:H104" si="116">IF(G101&gt;F101,G101-F101,F101-G101)</f>
        <v>0.25</v>
      </c>
      <c r="I101" s="17"/>
      <c r="J101" s="29"/>
      <c r="K101" s="11">
        <f t="shared" ref="K101:K104" si="117">IF(J101&gt;I101,J101-I101,I101-J101)</f>
        <v>0</v>
      </c>
      <c r="L101" s="11">
        <f t="shared" ref="L101" si="118">E101+H101+K101</f>
        <v>0.5</v>
      </c>
    </row>
    <row r="102" spans="1:12">
      <c r="A102" s="3" t="s">
        <v>303</v>
      </c>
      <c r="B102" s="27" t="s">
        <v>119</v>
      </c>
      <c r="C102" s="11">
        <v>0</v>
      </c>
      <c r="D102" s="11">
        <v>0.25</v>
      </c>
      <c r="E102" s="11">
        <f t="shared" si="107"/>
        <v>0.25</v>
      </c>
      <c r="F102" s="25"/>
      <c r="G102" s="11"/>
      <c r="H102" s="11">
        <f t="shared" si="116"/>
        <v>0</v>
      </c>
      <c r="I102" s="17"/>
      <c r="J102" s="29"/>
      <c r="K102" s="11">
        <f t="shared" si="117"/>
        <v>0</v>
      </c>
      <c r="L102" s="11">
        <f t="shared" ref="L102:L104" si="119">E102+H102+K102</f>
        <v>0.25</v>
      </c>
    </row>
    <row r="103" spans="1:12">
      <c r="A103" s="3" t="s">
        <v>304</v>
      </c>
      <c r="B103" s="24" t="s">
        <v>305</v>
      </c>
      <c r="C103" s="11"/>
      <c r="D103" s="11"/>
      <c r="E103" s="11">
        <f t="shared" si="107"/>
        <v>0</v>
      </c>
      <c r="F103" s="25"/>
      <c r="G103" s="11"/>
      <c r="H103" s="11">
        <f t="shared" si="116"/>
        <v>0</v>
      </c>
      <c r="I103" s="17">
        <v>0.75</v>
      </c>
      <c r="J103" s="29">
        <v>1</v>
      </c>
      <c r="K103" s="11">
        <f t="shared" si="117"/>
        <v>0.25</v>
      </c>
      <c r="L103" s="11">
        <f t="shared" si="119"/>
        <v>0.25</v>
      </c>
    </row>
    <row r="104" spans="1:12">
      <c r="A104" s="3" t="s">
        <v>306</v>
      </c>
      <c r="B104" s="24" t="s">
        <v>307</v>
      </c>
      <c r="C104" s="11"/>
      <c r="D104" s="11"/>
      <c r="E104" s="11">
        <f t="shared" si="107"/>
        <v>0</v>
      </c>
      <c r="F104" s="25"/>
      <c r="G104" s="11"/>
      <c r="H104" s="11">
        <f t="shared" si="116"/>
        <v>0</v>
      </c>
      <c r="I104" s="17">
        <v>0.75</v>
      </c>
      <c r="J104" s="29">
        <v>1</v>
      </c>
      <c r="K104" s="11">
        <f t="shared" si="117"/>
        <v>0.25</v>
      </c>
      <c r="L104" s="11">
        <f t="shared" si="119"/>
        <v>0.25</v>
      </c>
    </row>
    <row r="105" spans="1:12">
      <c r="E105" s="15">
        <f>SUM(E93:E104)</f>
        <v>2</v>
      </c>
      <c r="F105" s="15"/>
      <c r="G105" s="15"/>
      <c r="H105" s="15">
        <f>SUM(H93:H104)</f>
        <v>1</v>
      </c>
      <c r="I105" s="15"/>
      <c r="J105" s="15"/>
      <c r="K105" s="15">
        <f>SUM(K93:K104)</f>
        <v>1</v>
      </c>
      <c r="L105" s="15">
        <f>SUM(L93:L104)</f>
        <v>4</v>
      </c>
    </row>
    <row r="107" spans="1:12">
      <c r="C107" s="2" t="s">
        <v>285</v>
      </c>
      <c r="G107" s="30" t="str">
        <f>+MAINTENANCE!G59</f>
        <v>DIMANCHE</v>
      </c>
      <c r="H107" s="6">
        <f>+H90+1</f>
        <v>46250</v>
      </c>
    </row>
    <row r="108" spans="1:12">
      <c r="C108" s="168" t="s">
        <v>3</v>
      </c>
      <c r="D108" s="168"/>
      <c r="E108" s="168"/>
      <c r="F108" s="169" t="s">
        <v>4</v>
      </c>
      <c r="G108" s="169"/>
      <c r="H108" s="169"/>
      <c r="I108" s="170" t="s">
        <v>5</v>
      </c>
      <c r="J108" s="170"/>
      <c r="K108" s="170"/>
    </row>
    <row r="109" spans="1:12">
      <c r="B109" s="7" t="s">
        <v>6</v>
      </c>
      <c r="C109" s="8" t="s">
        <v>7</v>
      </c>
      <c r="D109" s="8" t="s">
        <v>8</v>
      </c>
      <c r="E109" s="8" t="s">
        <v>9</v>
      </c>
      <c r="F109" s="9" t="s">
        <v>7</v>
      </c>
      <c r="G109" s="9" t="s">
        <v>8</v>
      </c>
      <c r="H109" s="9" t="s">
        <v>9</v>
      </c>
      <c r="I109" s="16" t="s">
        <v>7</v>
      </c>
      <c r="J109" s="16" t="s">
        <v>8</v>
      </c>
      <c r="K109" s="16" t="s">
        <v>9</v>
      </c>
      <c r="L109" s="7" t="s">
        <v>10</v>
      </c>
    </row>
    <row r="110" spans="1:12">
      <c r="A110" s="3" t="s">
        <v>286</v>
      </c>
      <c r="B110" s="24" t="s">
        <v>308</v>
      </c>
      <c r="C110" s="11"/>
      <c r="D110" s="11"/>
      <c r="E110" s="11">
        <f t="shared" ref="E110" si="120">IF(D110&gt;C110,D110-C110,C110-D110)</f>
        <v>0</v>
      </c>
      <c r="F110" s="25"/>
      <c r="G110" s="11"/>
      <c r="H110" s="11">
        <f t="shared" ref="H110" si="121">IF(G110&gt;F110,G110-F110,F110-G110)</f>
        <v>0</v>
      </c>
      <c r="I110" s="17">
        <v>0.75</v>
      </c>
      <c r="J110" s="29">
        <v>1</v>
      </c>
      <c r="K110" s="11">
        <f t="shared" ref="K110" si="122">IF(J110&gt;I110,J110-I110,I110-J110)</f>
        <v>0.25</v>
      </c>
      <c r="L110" s="11">
        <f t="shared" ref="L110" si="123">E110+H110+K110</f>
        <v>0.25</v>
      </c>
    </row>
    <row r="111" spans="1:12">
      <c r="A111" s="3" t="s">
        <v>288</v>
      </c>
      <c r="B111" s="26" t="s">
        <v>289</v>
      </c>
      <c r="C111" s="11">
        <v>0.25</v>
      </c>
      <c r="D111" s="11">
        <v>0.5</v>
      </c>
      <c r="E111" s="11">
        <f t="shared" ref="E111:E113" si="124">IF(D111&gt;C111,D111-C111,C111-D111)</f>
        <v>0.25</v>
      </c>
      <c r="F111" s="25">
        <v>0.5</v>
      </c>
      <c r="G111" s="11">
        <v>0.75</v>
      </c>
      <c r="H111" s="11">
        <f t="shared" ref="H111:H113" si="125">IF(G111&gt;F111,G111-F111,F111-G111)</f>
        <v>0.25</v>
      </c>
      <c r="I111" s="17"/>
      <c r="J111" s="29"/>
      <c r="K111" s="11">
        <f t="shared" ref="K111:K113" si="126">IF(J111&gt;I111,J111-I111,I111-J111)</f>
        <v>0</v>
      </c>
      <c r="L111" s="11">
        <f t="shared" ref="L111:L113" si="127">E111+H111+K111</f>
        <v>0.5</v>
      </c>
    </row>
    <row r="112" spans="1:12">
      <c r="A112" s="3" t="s">
        <v>290</v>
      </c>
      <c r="B112" s="26" t="s">
        <v>291</v>
      </c>
      <c r="C112" s="11">
        <v>0.25</v>
      </c>
      <c r="D112" s="11">
        <v>0.5</v>
      </c>
      <c r="E112" s="11">
        <f t="shared" si="124"/>
        <v>0.25</v>
      </c>
      <c r="F112" s="25">
        <v>0.5</v>
      </c>
      <c r="G112" s="11">
        <v>0.75</v>
      </c>
      <c r="H112" s="11">
        <f t="shared" si="125"/>
        <v>0.25</v>
      </c>
      <c r="I112" s="17"/>
      <c r="J112" s="29"/>
      <c r="K112" s="11">
        <f t="shared" si="126"/>
        <v>0</v>
      </c>
      <c r="L112" s="11">
        <f t="shared" si="127"/>
        <v>0.5</v>
      </c>
    </row>
    <row r="113" spans="1:12">
      <c r="A113" s="3" t="s">
        <v>292</v>
      </c>
      <c r="B113" s="24" t="s">
        <v>293</v>
      </c>
      <c r="C113" s="11"/>
      <c r="D113" s="11"/>
      <c r="E113" s="11">
        <f t="shared" si="124"/>
        <v>0</v>
      </c>
      <c r="F113" s="25"/>
      <c r="G113" s="11"/>
      <c r="H113" s="11">
        <f t="shared" si="125"/>
        <v>0</v>
      </c>
      <c r="I113" s="17">
        <v>0.75</v>
      </c>
      <c r="J113" s="29">
        <v>1</v>
      </c>
      <c r="K113" s="11">
        <f t="shared" si="126"/>
        <v>0.25</v>
      </c>
      <c r="L113" s="11">
        <f t="shared" si="127"/>
        <v>0.25</v>
      </c>
    </row>
    <row r="114" spans="1:12">
      <c r="A114" s="3" t="s">
        <v>294</v>
      </c>
      <c r="B114" s="26" t="s">
        <v>295</v>
      </c>
      <c r="C114" s="11">
        <v>0.25</v>
      </c>
      <c r="D114" s="11">
        <v>0.5</v>
      </c>
      <c r="E114" s="11">
        <f t="shared" ref="E114" si="128">IF(D114&gt;C114,D114-C114,C114-D114)</f>
        <v>0.25</v>
      </c>
      <c r="F114" s="25">
        <v>0.5</v>
      </c>
      <c r="G114" s="11">
        <v>0.75</v>
      </c>
      <c r="H114" s="11">
        <f t="shared" ref="H114" si="129">IF(G114&gt;F114,G114-F114,F114-G114)</f>
        <v>0.25</v>
      </c>
      <c r="I114" s="17"/>
      <c r="J114" s="29"/>
      <c r="K114" s="11">
        <f t="shared" ref="K114" si="130">IF(J114&gt;I114,J114-I114,I114-J114)</f>
        <v>0</v>
      </c>
      <c r="L114" s="11">
        <f t="shared" ref="L114" si="131">E114+H114+K114</f>
        <v>0.5</v>
      </c>
    </row>
    <row r="115" spans="1:12">
      <c r="A115" s="3" t="s">
        <v>296</v>
      </c>
      <c r="B115" s="27" t="s">
        <v>297</v>
      </c>
      <c r="C115" s="11">
        <v>0</v>
      </c>
      <c r="D115" s="11">
        <v>0.25</v>
      </c>
      <c r="E115" s="11">
        <f t="shared" ref="E115:E121" si="132">IF(D115&gt;C115,D115-C115,C115-D115)</f>
        <v>0.25</v>
      </c>
      <c r="F115" s="25"/>
      <c r="G115" s="11"/>
      <c r="H115" s="11">
        <f t="shared" ref="H115:H121" si="133">IF(G115&gt;F115,G115-F115,F115-G115)</f>
        <v>0</v>
      </c>
      <c r="I115" s="17"/>
      <c r="J115" s="29"/>
      <c r="K115" s="11">
        <f t="shared" ref="K115:K121" si="134">IF(J115&gt;I115,J115-I115,I115-J115)</f>
        <v>0</v>
      </c>
      <c r="L115" s="11">
        <f t="shared" ref="L115:L116" si="135">E115+H115+K115</f>
        <v>0.25</v>
      </c>
    </row>
    <row r="116" spans="1:12">
      <c r="A116" s="3" t="s">
        <v>298</v>
      </c>
      <c r="B116" s="24" t="s">
        <v>299</v>
      </c>
      <c r="C116" s="11"/>
      <c r="D116" s="11"/>
      <c r="E116" s="11">
        <f t="shared" si="132"/>
        <v>0</v>
      </c>
      <c r="F116" s="25"/>
      <c r="G116" s="11"/>
      <c r="H116" s="11">
        <f t="shared" si="133"/>
        <v>0</v>
      </c>
      <c r="I116" s="17">
        <v>0.75</v>
      </c>
      <c r="J116" s="29">
        <v>1</v>
      </c>
      <c r="K116" s="11">
        <f t="shared" si="134"/>
        <v>0.25</v>
      </c>
      <c r="L116" s="11">
        <f t="shared" si="135"/>
        <v>0.25</v>
      </c>
    </row>
    <row r="117" spans="1:12">
      <c r="A117" s="3" t="s">
        <v>300</v>
      </c>
      <c r="B117" s="27" t="s">
        <v>301</v>
      </c>
      <c r="C117" s="11">
        <v>0</v>
      </c>
      <c r="D117" s="11">
        <v>0.25</v>
      </c>
      <c r="E117" s="11">
        <f t="shared" si="132"/>
        <v>0.25</v>
      </c>
      <c r="F117" s="25"/>
      <c r="G117" s="11"/>
      <c r="H117" s="11">
        <f t="shared" si="133"/>
        <v>0</v>
      </c>
      <c r="I117" s="17"/>
      <c r="J117" s="29"/>
      <c r="K117" s="11">
        <f t="shared" si="134"/>
        <v>0</v>
      </c>
      <c r="L117" s="11">
        <f t="shared" ref="L117:L118" si="136">E117+H117+K117</f>
        <v>0.25</v>
      </c>
    </row>
    <row r="118" spans="1:12">
      <c r="A118" s="3" t="s">
        <v>302</v>
      </c>
      <c r="B118" s="24" t="s">
        <v>124</v>
      </c>
      <c r="C118" s="11"/>
      <c r="D118" s="11"/>
      <c r="E118" s="11">
        <f t="shared" si="132"/>
        <v>0</v>
      </c>
      <c r="F118" s="25"/>
      <c r="G118" s="11"/>
      <c r="H118" s="11">
        <f t="shared" si="133"/>
        <v>0</v>
      </c>
      <c r="I118" s="17">
        <v>0.75</v>
      </c>
      <c r="J118" s="29">
        <v>1</v>
      </c>
      <c r="K118" s="11">
        <f t="shared" si="134"/>
        <v>0.25</v>
      </c>
      <c r="L118" s="11">
        <f t="shared" si="136"/>
        <v>0.25</v>
      </c>
    </row>
    <row r="119" spans="1:12">
      <c r="A119" s="3" t="s">
        <v>303</v>
      </c>
      <c r="B119" s="26" t="s">
        <v>119</v>
      </c>
      <c r="C119" s="11">
        <v>0.25</v>
      </c>
      <c r="D119" s="11">
        <v>0.5</v>
      </c>
      <c r="E119" s="11">
        <f t="shared" ref="E119" si="137">IF(D119&gt;C119,D119-C119,C119-D119)</f>
        <v>0.25</v>
      </c>
      <c r="F119" s="25">
        <v>0.5</v>
      </c>
      <c r="G119" s="11">
        <v>0.75</v>
      </c>
      <c r="H119" s="11">
        <f t="shared" ref="H119" si="138">IF(G119&gt;F119,G119-F119,F119-G119)</f>
        <v>0.25</v>
      </c>
      <c r="I119" s="17"/>
      <c r="J119" s="29"/>
      <c r="K119" s="11">
        <f t="shared" ref="K119" si="139">IF(J119&gt;I119,J119-I119,I119-J119)</f>
        <v>0</v>
      </c>
      <c r="L119" s="11">
        <f t="shared" ref="L119" si="140">E119+H119+K119</f>
        <v>0.5</v>
      </c>
    </row>
    <row r="120" spans="1:12">
      <c r="A120" s="3" t="s">
        <v>304</v>
      </c>
      <c r="B120" s="27" t="s">
        <v>305</v>
      </c>
      <c r="C120" s="11">
        <v>0</v>
      </c>
      <c r="D120" s="11">
        <v>0.25</v>
      </c>
      <c r="E120" s="11">
        <f t="shared" si="132"/>
        <v>0.25</v>
      </c>
      <c r="F120" s="25"/>
      <c r="G120" s="11"/>
      <c r="H120" s="11">
        <f t="shared" si="133"/>
        <v>0</v>
      </c>
      <c r="I120" s="17"/>
      <c r="J120" s="29"/>
      <c r="K120" s="11">
        <f t="shared" si="134"/>
        <v>0</v>
      </c>
      <c r="L120" s="11">
        <f t="shared" ref="L120:L121" si="141">E120+H120+K120</f>
        <v>0.25</v>
      </c>
    </row>
    <row r="121" spans="1:12">
      <c r="A121" s="3" t="s">
        <v>306</v>
      </c>
      <c r="B121" s="27" t="s">
        <v>307</v>
      </c>
      <c r="C121" s="11">
        <v>0</v>
      </c>
      <c r="D121" s="11">
        <v>0.25</v>
      </c>
      <c r="E121" s="11">
        <f t="shared" si="132"/>
        <v>0.25</v>
      </c>
      <c r="F121" s="25"/>
      <c r="G121" s="11"/>
      <c r="H121" s="11">
        <f t="shared" si="133"/>
        <v>0</v>
      </c>
      <c r="I121" s="17"/>
      <c r="J121" s="29"/>
      <c r="K121" s="11">
        <f t="shared" si="134"/>
        <v>0</v>
      </c>
      <c r="L121" s="11">
        <f t="shared" si="141"/>
        <v>0.25</v>
      </c>
    </row>
    <row r="122" spans="1:12">
      <c r="E122" s="15">
        <f>SUM(E110:E121)</f>
        <v>2</v>
      </c>
      <c r="F122" s="15"/>
      <c r="G122" s="15"/>
      <c r="H122" s="15">
        <f>SUM(H110:H121)</f>
        <v>1</v>
      </c>
      <c r="I122" s="15"/>
      <c r="J122" s="15"/>
      <c r="K122" s="15">
        <f>SUM(K110:K121)</f>
        <v>1</v>
      </c>
      <c r="L122" s="15">
        <f>SUM(L110:L121)</f>
        <v>4</v>
      </c>
    </row>
    <row r="126" spans="1:12">
      <c r="A126" s="3" t="s">
        <v>286</v>
      </c>
      <c r="B126" s="24" t="s">
        <v>309</v>
      </c>
      <c r="C126" s="21">
        <f>+L8+L25+L42+L59+L76+L93+L110</f>
        <v>2.25</v>
      </c>
    </row>
    <row r="127" spans="1:12">
      <c r="A127" s="3" t="s">
        <v>288</v>
      </c>
      <c r="B127" s="24" t="s">
        <v>289</v>
      </c>
      <c r="C127" s="21">
        <f t="shared" ref="C127:C137" si="142">+L9+L26+L43+L60+L77+L94+L111</f>
        <v>2.5</v>
      </c>
    </row>
    <row r="128" spans="1:12">
      <c r="A128" s="3" t="s">
        <v>290</v>
      </c>
      <c r="B128" s="24" t="s">
        <v>291</v>
      </c>
      <c r="C128" s="21">
        <f t="shared" si="142"/>
        <v>2.5</v>
      </c>
    </row>
    <row r="129" spans="1:3">
      <c r="A129" s="3" t="s">
        <v>292</v>
      </c>
      <c r="B129" s="24" t="s">
        <v>293</v>
      </c>
      <c r="C129" s="21">
        <f t="shared" si="142"/>
        <v>2.25</v>
      </c>
    </row>
    <row r="130" spans="1:3">
      <c r="A130" s="3" t="s">
        <v>294</v>
      </c>
      <c r="B130" s="24" t="s">
        <v>295</v>
      </c>
      <c r="C130" s="21">
        <f t="shared" si="142"/>
        <v>2.5</v>
      </c>
    </row>
    <row r="131" spans="1:3">
      <c r="A131" s="3" t="s">
        <v>296</v>
      </c>
      <c r="B131" s="24" t="s">
        <v>297</v>
      </c>
      <c r="C131" s="21">
        <f t="shared" si="142"/>
        <v>2</v>
      </c>
    </row>
    <row r="132" spans="1:3">
      <c r="A132" s="3" t="s">
        <v>298</v>
      </c>
      <c r="B132" s="24" t="s">
        <v>299</v>
      </c>
      <c r="C132" s="21">
        <f t="shared" si="142"/>
        <v>2.25</v>
      </c>
    </row>
    <row r="133" spans="1:3">
      <c r="A133" s="3" t="s">
        <v>300</v>
      </c>
      <c r="B133" s="24" t="s">
        <v>301</v>
      </c>
      <c r="C133" s="21">
        <f t="shared" si="142"/>
        <v>2</v>
      </c>
    </row>
    <row r="134" spans="1:3">
      <c r="A134" s="3" t="s">
        <v>302</v>
      </c>
      <c r="B134" s="24" t="s">
        <v>124</v>
      </c>
      <c r="C134" s="21">
        <f t="shared" si="142"/>
        <v>2.25</v>
      </c>
    </row>
    <row r="135" spans="1:3">
      <c r="A135" s="3" t="s">
        <v>303</v>
      </c>
      <c r="B135" s="24" t="s">
        <v>119</v>
      </c>
      <c r="C135" s="21">
        <f t="shared" si="142"/>
        <v>2.5</v>
      </c>
    </row>
    <row r="136" spans="1:3">
      <c r="A136" s="3" t="s">
        <v>304</v>
      </c>
      <c r="B136" s="24" t="s">
        <v>305</v>
      </c>
      <c r="C136" s="21">
        <f t="shared" si="142"/>
        <v>2</v>
      </c>
    </row>
    <row r="137" spans="1:3">
      <c r="A137" s="3" t="s">
        <v>306</v>
      </c>
      <c r="B137" s="24" t="s">
        <v>307</v>
      </c>
      <c r="C137" s="21">
        <f t="shared" si="142"/>
        <v>2</v>
      </c>
    </row>
  </sheetData>
  <sortState xmlns:xlrd2="http://schemas.microsoft.com/office/spreadsheetml/2017/richdata2" ref="A110:L121">
    <sortCondition ref="B110:B121"/>
  </sortState>
  <mergeCells count="22">
    <mergeCell ref="C6:E6"/>
    <mergeCell ref="F6:H6"/>
    <mergeCell ref="I6:K6"/>
    <mergeCell ref="C23:E23"/>
    <mergeCell ref="F23:H23"/>
    <mergeCell ref="I23:K23"/>
    <mergeCell ref="C108:E108"/>
    <mergeCell ref="F108:H108"/>
    <mergeCell ref="I108:K108"/>
    <mergeCell ref="E2:I3"/>
    <mergeCell ref="C74:E74"/>
    <mergeCell ref="F74:H74"/>
    <mergeCell ref="I74:K74"/>
    <mergeCell ref="C91:E91"/>
    <mergeCell ref="F91:H91"/>
    <mergeCell ref="I91:K91"/>
    <mergeCell ref="C40:E40"/>
    <mergeCell ref="F40:H40"/>
    <mergeCell ref="I40:K40"/>
    <mergeCell ref="C57:E57"/>
    <mergeCell ref="F57:H57"/>
    <mergeCell ref="I57:K57"/>
  </mergeCells>
  <pageMargins left="0.7" right="0.7" top="0.75" bottom="0.28999999999999998" header="0.3" footer="0.3"/>
  <pageSetup paperSize="9" fitToHeight="0" orientation="landscape" verticalDpi="12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2:Q105"/>
  <sheetViews>
    <sheetView zoomScale="85" zoomScaleNormal="85" workbookViewId="0">
      <selection activeCell="E2" sqref="E2:I3"/>
    </sheetView>
  </sheetViews>
  <sheetFormatPr defaultColWidth="11" defaultRowHeight="15"/>
  <cols>
    <col min="1" max="1" width="11.5703125" style="3"/>
  </cols>
  <sheetData>
    <row r="2" spans="1:17">
      <c r="E2" s="171" t="s">
        <v>310</v>
      </c>
      <c r="F2" s="171"/>
      <c r="G2" s="171"/>
      <c r="H2" s="171"/>
      <c r="I2" s="171"/>
    </row>
    <row r="3" spans="1:17">
      <c r="E3" s="171"/>
      <c r="F3" s="171"/>
      <c r="G3" s="171"/>
      <c r="H3" s="171"/>
      <c r="I3" s="171"/>
    </row>
    <row r="5" spans="1:17">
      <c r="C5" s="2" t="s">
        <v>311</v>
      </c>
      <c r="G5" s="5" t="s">
        <v>39</v>
      </c>
      <c r="H5" s="6">
        <f>+PLONGE!H5</f>
        <v>46244</v>
      </c>
    </row>
    <row r="6" spans="1:17">
      <c r="C6" s="168" t="s">
        <v>3</v>
      </c>
      <c r="D6" s="168"/>
      <c r="E6" s="168"/>
      <c r="F6" s="169" t="s">
        <v>4</v>
      </c>
      <c r="G6" s="169"/>
      <c r="H6" s="169"/>
      <c r="I6" s="170" t="s">
        <v>5</v>
      </c>
      <c r="J6" s="170"/>
      <c r="K6" s="170"/>
    </row>
    <row r="7" spans="1:17">
      <c r="B7" s="7" t="s">
        <v>6</v>
      </c>
      <c r="C7" s="8" t="s">
        <v>7</v>
      </c>
      <c r="D7" s="8" t="s">
        <v>8</v>
      </c>
      <c r="E7" s="8" t="s">
        <v>9</v>
      </c>
      <c r="F7" s="9" t="s">
        <v>7</v>
      </c>
      <c r="G7" s="9" t="s">
        <v>8</v>
      </c>
      <c r="H7" s="9" t="s">
        <v>9</v>
      </c>
      <c r="I7" s="16" t="s">
        <v>7</v>
      </c>
      <c r="J7" s="16" t="s">
        <v>8</v>
      </c>
      <c r="K7" s="16" t="s">
        <v>9</v>
      </c>
      <c r="L7" s="7" t="s">
        <v>10</v>
      </c>
    </row>
    <row r="8" spans="1:17">
      <c r="A8" s="3" t="s">
        <v>312</v>
      </c>
      <c r="B8" s="10" t="s">
        <v>313</v>
      </c>
      <c r="C8" s="11">
        <v>0.33333333333333298</v>
      </c>
      <c r="D8" s="11">
        <v>0.5</v>
      </c>
      <c r="E8" s="11">
        <f t="shared" ref="E8:E9" si="0">IF(D8&gt;C8,D8-C8,C8-D8)</f>
        <v>0.16666666666666699</v>
      </c>
      <c r="F8" s="11">
        <v>0.58333333333333304</v>
      </c>
      <c r="G8" s="11">
        <v>0.75</v>
      </c>
      <c r="H8" s="11">
        <f>IF(G8&gt;F8,G8-F8,F8-G8)</f>
        <v>0.16666666666666699</v>
      </c>
      <c r="I8" s="17"/>
      <c r="J8" s="17"/>
      <c r="K8" s="11">
        <f>IF(J8&gt;I8,J8-I8,I8-J8)</f>
        <v>0</v>
      </c>
      <c r="L8" s="11">
        <f>E8+H8+K8</f>
        <v>0.33333333333333298</v>
      </c>
    </row>
    <row r="9" spans="1:17">
      <c r="A9" s="3" t="s">
        <v>314</v>
      </c>
      <c r="B9" s="10" t="s">
        <v>315</v>
      </c>
      <c r="C9" s="11">
        <v>0.33333333333333298</v>
      </c>
      <c r="D9" s="11">
        <v>0.5</v>
      </c>
      <c r="E9" s="11">
        <f t="shared" si="0"/>
        <v>0.16666666666666699</v>
      </c>
      <c r="F9" s="11">
        <v>0.54166666666666696</v>
      </c>
      <c r="G9" s="11">
        <v>0.70833333333333304</v>
      </c>
      <c r="H9" s="11">
        <f>IF(G9&gt;F9,G9-F9,F9-G9)</f>
        <v>0.16666666666666699</v>
      </c>
      <c r="I9" s="17"/>
      <c r="J9" s="17"/>
      <c r="K9" s="11">
        <f>IF(J9&gt;I9,J9-I9,I9-J9)</f>
        <v>0</v>
      </c>
      <c r="L9" s="11">
        <f>E9+H9+K9</f>
        <v>0.33333333333333298</v>
      </c>
    </row>
    <row r="10" spans="1:17">
      <c r="A10" s="3" t="s">
        <v>316</v>
      </c>
      <c r="B10" s="10" t="s">
        <v>317</v>
      </c>
      <c r="C10" s="11">
        <v>0.33333333333333298</v>
      </c>
      <c r="D10" s="11">
        <v>0.5</v>
      </c>
      <c r="E10" s="11">
        <f t="shared" ref="E10:E11" si="1">IF(D10&gt;C10,D10-C10,C10-D10)</f>
        <v>0.16666666666666699</v>
      </c>
      <c r="F10" s="11">
        <v>0.58333333333333304</v>
      </c>
      <c r="G10" s="11">
        <v>0.75</v>
      </c>
      <c r="H10" s="11">
        <f>IF(G10&gt;F10,G10-F10,F10-G10)</f>
        <v>0.16666666666666699</v>
      </c>
      <c r="I10" s="17"/>
      <c r="J10" s="17"/>
      <c r="K10" s="11">
        <f>IF(J10&gt;I10,J10-I10,I10-J10)</f>
        <v>0</v>
      </c>
      <c r="L10" s="11">
        <f t="shared" ref="L10" si="2">E10+H10+K10</f>
        <v>0.33333333333333298</v>
      </c>
    </row>
    <row r="11" spans="1:17">
      <c r="A11" s="3" t="s">
        <v>318</v>
      </c>
      <c r="B11" s="10" t="s">
        <v>319</v>
      </c>
      <c r="C11" s="11">
        <v>0.33333333333333298</v>
      </c>
      <c r="D11" s="11">
        <v>0.5</v>
      </c>
      <c r="E11" s="11">
        <f t="shared" si="1"/>
        <v>0.16666666666666699</v>
      </c>
      <c r="F11" s="11">
        <v>0.52083333333333304</v>
      </c>
      <c r="G11" s="11">
        <v>0.70833333333333304</v>
      </c>
      <c r="H11" s="11">
        <f t="shared" ref="H11" si="3">IF(G11&gt;F11,G11-F11,F11-G11)</f>
        <v>0.1875</v>
      </c>
      <c r="I11" s="17"/>
      <c r="J11" s="17"/>
      <c r="K11" s="11">
        <f t="shared" ref="K11" si="4">IF(J11&gt;I11,J11-I11,I11-J11)</f>
        <v>0</v>
      </c>
      <c r="L11" s="11">
        <f t="shared" ref="L11:L13" si="5">E11+H11+K11</f>
        <v>0.35416666666666702</v>
      </c>
    </row>
    <row r="12" spans="1:17">
      <c r="A12" s="3" t="s">
        <v>320</v>
      </c>
      <c r="B12" s="10" t="s">
        <v>321</v>
      </c>
      <c r="C12" s="11">
        <v>0.33333333333333298</v>
      </c>
      <c r="D12" s="11">
        <v>0.5</v>
      </c>
      <c r="E12" s="11">
        <f t="shared" ref="E12" si="6">IF(D12&gt;C12,D12-C12,C12-D12)</f>
        <v>0.16666666666666699</v>
      </c>
      <c r="F12" s="11">
        <v>0.52083333333333304</v>
      </c>
      <c r="G12" s="11">
        <v>0.66666666666666696</v>
      </c>
      <c r="H12" s="11">
        <f t="shared" ref="H12:H15" si="7">IF(G12&gt;F12,G12-F12,F12-G12)</f>
        <v>0.14583333333333301</v>
      </c>
      <c r="I12" s="17"/>
      <c r="J12" s="17"/>
      <c r="K12" s="11">
        <f t="shared" ref="K12:K13" si="8">IF(J12&gt;I12,J12-I12,I12-J12)</f>
        <v>0</v>
      </c>
      <c r="L12" s="11">
        <f t="shared" si="5"/>
        <v>0.3125</v>
      </c>
    </row>
    <row r="13" spans="1:17">
      <c r="A13" s="3" t="s">
        <v>322</v>
      </c>
      <c r="B13" s="12" t="s">
        <v>323</v>
      </c>
      <c r="C13" s="11">
        <v>0.41666666666666702</v>
      </c>
      <c r="D13" s="11">
        <v>0.5</v>
      </c>
      <c r="E13" s="11">
        <f t="shared" ref="E13:E14" si="9">IF(D13&gt;C13,D13-C13,C13-D13)</f>
        <v>8.3333333333333301E-2</v>
      </c>
      <c r="F13" s="11">
        <v>0.52083333333333304</v>
      </c>
      <c r="G13" s="11">
        <v>0.75</v>
      </c>
      <c r="H13" s="11">
        <f t="shared" si="7"/>
        <v>0.22916666666666699</v>
      </c>
      <c r="I13" s="17"/>
      <c r="J13" s="17"/>
      <c r="K13" s="11">
        <f t="shared" si="8"/>
        <v>0</v>
      </c>
      <c r="L13" s="11">
        <f t="shared" si="5"/>
        <v>0.3125</v>
      </c>
    </row>
    <row r="14" spans="1:17">
      <c r="A14" s="3" t="s">
        <v>324</v>
      </c>
      <c r="B14" s="12" t="s">
        <v>16</v>
      </c>
      <c r="C14" s="11">
        <v>0.25</v>
      </c>
      <c r="D14" s="11">
        <v>0.5</v>
      </c>
      <c r="E14" s="11">
        <f t="shared" si="9"/>
        <v>0.25</v>
      </c>
      <c r="F14" s="11">
        <v>0.52083333333333304</v>
      </c>
      <c r="G14" s="11">
        <v>0.58333333333333304</v>
      </c>
      <c r="H14" s="11">
        <f t="shared" si="7"/>
        <v>6.25E-2</v>
      </c>
      <c r="I14" s="11"/>
      <c r="J14" s="11"/>
      <c r="K14" s="11">
        <f t="shared" ref="K14" si="10">IF(J14&gt;I14,J14-I14,I14-J14)</f>
        <v>0</v>
      </c>
      <c r="L14" s="11">
        <f t="shared" ref="L14" si="11">E14+H14+K14</f>
        <v>0.3125</v>
      </c>
      <c r="O14" s="18"/>
      <c r="P14" s="18"/>
      <c r="Q14" s="18"/>
    </row>
    <row r="15" spans="1:17">
      <c r="A15" s="3" t="s">
        <v>325</v>
      </c>
      <c r="B15" s="13" t="s">
        <v>326</v>
      </c>
      <c r="C15" s="11">
        <v>0.25</v>
      </c>
      <c r="D15" s="11">
        <v>0.5</v>
      </c>
      <c r="E15" s="11">
        <f t="shared" ref="E15" si="12">IF(D15&gt;C15,D15-C15,C15-D15)</f>
        <v>0.25</v>
      </c>
      <c r="F15" s="11">
        <v>0.52083333333333304</v>
      </c>
      <c r="G15" s="11">
        <v>0.75</v>
      </c>
      <c r="H15" s="11">
        <f t="shared" si="7"/>
        <v>0.22916666666666699</v>
      </c>
      <c r="I15" s="11"/>
      <c r="J15" s="11"/>
      <c r="K15" s="11">
        <f t="shared" ref="K15" si="13">IF(J15&gt;I15,J15-I15,I15-J15)</f>
        <v>0</v>
      </c>
      <c r="L15" s="11">
        <f t="shared" ref="L15" si="14">E15+H15+K15</f>
        <v>0.47916666666666702</v>
      </c>
      <c r="O15" s="18"/>
      <c r="P15" s="18"/>
      <c r="Q15" s="18"/>
    </row>
    <row r="16" spans="1:17" s="1" customFormat="1">
      <c r="A16" s="14"/>
      <c r="E16" s="15">
        <f>SUM(E8:E15)</f>
        <v>1.4166666666666701</v>
      </c>
      <c r="H16" s="15">
        <f>SUM(H8:H15)</f>
        <v>1.3541666666666701</v>
      </c>
      <c r="K16" s="15">
        <f>SUM(K8:K15)</f>
        <v>0</v>
      </c>
      <c r="L16" s="15">
        <f>SUM(L8:L15)</f>
        <v>2.7708333333333299</v>
      </c>
    </row>
    <row r="18" spans="1:12">
      <c r="C18" s="2" t="s">
        <v>311</v>
      </c>
      <c r="G18" s="5" t="s">
        <v>32</v>
      </c>
      <c r="H18" s="6">
        <f>+H5+1</f>
        <v>46245</v>
      </c>
    </row>
    <row r="19" spans="1:12">
      <c r="C19" s="168" t="s">
        <v>3</v>
      </c>
      <c r="D19" s="168"/>
      <c r="E19" s="168"/>
      <c r="F19" s="169" t="s">
        <v>4</v>
      </c>
      <c r="G19" s="169"/>
      <c r="H19" s="169"/>
      <c r="I19" s="170" t="s">
        <v>5</v>
      </c>
      <c r="J19" s="170"/>
      <c r="K19" s="170"/>
    </row>
    <row r="20" spans="1:12">
      <c r="B20" s="7" t="s">
        <v>6</v>
      </c>
      <c r="C20" s="8" t="s">
        <v>7</v>
      </c>
      <c r="D20" s="8" t="s">
        <v>8</v>
      </c>
      <c r="E20" s="8" t="s">
        <v>9</v>
      </c>
      <c r="F20" s="9" t="s">
        <v>7</v>
      </c>
      <c r="G20" s="9" t="s">
        <v>8</v>
      </c>
      <c r="H20" s="9" t="s">
        <v>9</v>
      </c>
      <c r="I20" s="16" t="s">
        <v>7</v>
      </c>
      <c r="J20" s="16" t="s">
        <v>8</v>
      </c>
      <c r="K20" s="16" t="s">
        <v>9</v>
      </c>
      <c r="L20" s="7" t="s">
        <v>10</v>
      </c>
    </row>
    <row r="21" spans="1:12">
      <c r="A21" s="3" t="s">
        <v>312</v>
      </c>
      <c r="B21" s="10" t="s">
        <v>313</v>
      </c>
      <c r="C21" s="11">
        <v>0.33333333333333298</v>
      </c>
      <c r="D21" s="11">
        <v>0.5</v>
      </c>
      <c r="E21" s="11">
        <f t="shared" ref="E21:E28" si="15">IF(D21&gt;C21,D21-C21,C21-D21)</f>
        <v>0.16666666666666699</v>
      </c>
      <c r="F21" s="11">
        <v>0.58333333333333304</v>
      </c>
      <c r="G21" s="11">
        <v>0.75</v>
      </c>
      <c r="H21" s="11">
        <f>IF(G21&gt;F21,G21-F21,F21-G21)</f>
        <v>0.16666666666666699</v>
      </c>
      <c r="I21" s="17"/>
      <c r="J21" s="17"/>
      <c r="K21" s="11">
        <f>IF(J21&gt;I21,J21-I21,I21-J21)</f>
        <v>0</v>
      </c>
      <c r="L21" s="11">
        <f>E21+H21+K21</f>
        <v>0.33333333333333298</v>
      </c>
    </row>
    <row r="22" spans="1:12">
      <c r="A22" s="3" t="s">
        <v>314</v>
      </c>
      <c r="B22" s="10" t="s">
        <v>315</v>
      </c>
      <c r="C22" s="11">
        <v>0.33333333333333298</v>
      </c>
      <c r="D22" s="11">
        <v>0.5</v>
      </c>
      <c r="E22" s="11">
        <f t="shared" si="15"/>
        <v>0.16666666666666699</v>
      </c>
      <c r="F22" s="11">
        <v>0.54166666666666696</v>
      </c>
      <c r="G22" s="11">
        <v>0.70833333333333304</v>
      </c>
      <c r="H22" s="11">
        <f>IF(G22&gt;F22,G22-F22,F22-G22)</f>
        <v>0.16666666666666699</v>
      </c>
      <c r="I22" s="17"/>
      <c r="J22" s="17"/>
      <c r="K22" s="11">
        <f>IF(J22&gt;I22,J22-I22,I22-J22)</f>
        <v>0</v>
      </c>
      <c r="L22" s="11">
        <f>E22+H22+K22</f>
        <v>0.33333333333333298</v>
      </c>
    </row>
    <row r="23" spans="1:12">
      <c r="A23" s="3" t="s">
        <v>316</v>
      </c>
      <c r="B23" s="10" t="s">
        <v>317</v>
      </c>
      <c r="C23" s="11">
        <v>0.33333333333333298</v>
      </c>
      <c r="D23" s="11">
        <v>0.5</v>
      </c>
      <c r="E23" s="11">
        <f t="shared" si="15"/>
        <v>0.16666666666666699</v>
      </c>
      <c r="F23" s="11">
        <v>0.58333333333333304</v>
      </c>
      <c r="G23" s="11">
        <v>0.75</v>
      </c>
      <c r="H23" s="11">
        <f>IF(G23&gt;F23,G23-F23,F23-G23)</f>
        <v>0.16666666666666699</v>
      </c>
      <c r="I23" s="17"/>
      <c r="J23" s="17"/>
      <c r="K23" s="11">
        <f>IF(J23&gt;I23,J23-I23,I23-J23)</f>
        <v>0</v>
      </c>
      <c r="L23" s="11">
        <f t="shared" ref="L23:L28" si="16">E23+H23+K23</f>
        <v>0.33333333333333298</v>
      </c>
    </row>
    <row r="24" spans="1:12">
      <c r="A24" s="3" t="s">
        <v>318</v>
      </c>
      <c r="B24" s="10" t="s">
        <v>319</v>
      </c>
      <c r="C24" s="11">
        <v>0.33333333333333298</v>
      </c>
      <c r="D24" s="11">
        <v>0.5</v>
      </c>
      <c r="E24" s="11">
        <f t="shared" si="15"/>
        <v>0.16666666666666699</v>
      </c>
      <c r="F24" s="11">
        <v>0.54166666666666696</v>
      </c>
      <c r="G24" s="11">
        <v>0.70833333333333304</v>
      </c>
      <c r="H24" s="11">
        <f t="shared" ref="H24" si="17">IF(G24&gt;F24,G24-F24,F24-G24)</f>
        <v>0.16666666666666699</v>
      </c>
      <c r="I24" s="17"/>
      <c r="J24" s="17"/>
      <c r="K24" s="11">
        <f t="shared" ref="K24" si="18">IF(J24&gt;I24,J24-I24,I24-J24)</f>
        <v>0</v>
      </c>
      <c r="L24" s="11">
        <f t="shared" si="16"/>
        <v>0.33333333333333298</v>
      </c>
    </row>
    <row r="25" spans="1:12">
      <c r="A25" s="3" t="s">
        <v>320</v>
      </c>
      <c r="B25" s="10" t="s">
        <v>321</v>
      </c>
      <c r="C25" s="11">
        <v>0.41666666666666702</v>
      </c>
      <c r="D25" s="11">
        <v>0.5</v>
      </c>
      <c r="E25" s="11">
        <f t="shared" si="15"/>
        <v>8.3333333333333301E-2</v>
      </c>
      <c r="F25" s="11">
        <v>0.54166666666666696</v>
      </c>
      <c r="G25" s="11">
        <v>0.75</v>
      </c>
      <c r="H25" s="11">
        <f t="shared" ref="H25:H28" si="19">IF(G25&gt;F25,G25-F25,F25-G25)</f>
        <v>0.20833333333333301</v>
      </c>
      <c r="I25" s="17"/>
      <c r="J25" s="17"/>
      <c r="K25" s="11">
        <f t="shared" ref="K25:K28" si="20">IF(J25&gt;I25,J25-I25,I25-J25)</f>
        <v>0</v>
      </c>
      <c r="L25" s="11">
        <f t="shared" si="16"/>
        <v>0.29166666666666702</v>
      </c>
    </row>
    <row r="26" spans="1:12">
      <c r="A26" s="3" t="s">
        <v>322</v>
      </c>
      <c r="B26" s="12" t="s">
        <v>323</v>
      </c>
      <c r="C26" s="11">
        <v>0.33333333333333298</v>
      </c>
      <c r="D26" s="11">
        <v>0.5</v>
      </c>
      <c r="E26" s="11">
        <f t="shared" si="15"/>
        <v>0.16666666666666699</v>
      </c>
      <c r="F26" s="11">
        <v>0.54166666666666696</v>
      </c>
      <c r="G26" s="11">
        <v>0.66666666666666696</v>
      </c>
      <c r="H26" s="11">
        <f t="shared" si="19"/>
        <v>0.125</v>
      </c>
      <c r="I26" s="17"/>
      <c r="J26" s="17"/>
      <c r="K26" s="11">
        <f t="shared" si="20"/>
        <v>0</v>
      </c>
      <c r="L26" s="11">
        <f t="shared" si="16"/>
        <v>0.29166666666666702</v>
      </c>
    </row>
    <row r="27" spans="1:12">
      <c r="A27" s="3" t="s">
        <v>324</v>
      </c>
      <c r="B27" s="12" t="s">
        <v>16</v>
      </c>
      <c r="C27" s="11">
        <v>0.25</v>
      </c>
      <c r="D27" s="11">
        <v>0.5</v>
      </c>
      <c r="E27" s="11">
        <f t="shared" si="15"/>
        <v>0.25</v>
      </c>
      <c r="F27" s="11">
        <v>0.52083333333333304</v>
      </c>
      <c r="G27" s="11">
        <v>0.75</v>
      </c>
      <c r="H27" s="11">
        <f t="shared" si="19"/>
        <v>0.22916666666666699</v>
      </c>
      <c r="I27" s="11"/>
      <c r="J27" s="11"/>
      <c r="K27" s="11">
        <f t="shared" si="20"/>
        <v>0</v>
      </c>
      <c r="L27" s="11">
        <f t="shared" si="16"/>
        <v>0.47916666666666702</v>
      </c>
    </row>
    <row r="28" spans="1:12">
      <c r="A28" s="3" t="s">
        <v>325</v>
      </c>
      <c r="B28" s="13" t="s">
        <v>326</v>
      </c>
      <c r="C28" s="11">
        <v>0.25</v>
      </c>
      <c r="D28" s="11">
        <v>0.5</v>
      </c>
      <c r="E28" s="11">
        <f t="shared" si="15"/>
        <v>0.25</v>
      </c>
      <c r="F28" s="11">
        <v>0.52083333333333304</v>
      </c>
      <c r="G28" s="11">
        <v>0.58333333333333304</v>
      </c>
      <c r="H28" s="11">
        <f t="shared" si="19"/>
        <v>6.25E-2</v>
      </c>
      <c r="I28" s="11"/>
      <c r="J28" s="11"/>
      <c r="K28" s="11">
        <f t="shared" si="20"/>
        <v>0</v>
      </c>
      <c r="L28" s="11">
        <f t="shared" si="16"/>
        <v>0.3125</v>
      </c>
    </row>
    <row r="29" spans="1:12" s="1" customFormat="1">
      <c r="A29" s="14"/>
      <c r="E29" s="15">
        <f>SUM(E21:E28)</f>
        <v>1.4166666666666701</v>
      </c>
      <c r="H29" s="15">
        <f>SUM(H21:H28)</f>
        <v>1.2916666666666701</v>
      </c>
      <c r="K29" s="15">
        <f>SUM(K21:K28)</f>
        <v>0</v>
      </c>
      <c r="L29" s="15">
        <f>SUM(L21:L28)</f>
        <v>2.7083333333333299</v>
      </c>
    </row>
    <row r="31" spans="1:12">
      <c r="C31" s="2" t="s">
        <v>311</v>
      </c>
      <c r="G31" s="5" t="s">
        <v>34</v>
      </c>
      <c r="H31" s="6">
        <f>+H18+1</f>
        <v>46246</v>
      </c>
    </row>
    <row r="32" spans="1:12">
      <c r="C32" s="168" t="s">
        <v>3</v>
      </c>
      <c r="D32" s="168"/>
      <c r="E32" s="168"/>
      <c r="F32" s="169" t="s">
        <v>4</v>
      </c>
      <c r="G32" s="169"/>
      <c r="H32" s="169"/>
      <c r="I32" s="170" t="s">
        <v>5</v>
      </c>
      <c r="J32" s="170"/>
      <c r="K32" s="170"/>
    </row>
    <row r="33" spans="1:12">
      <c r="B33" s="7" t="s">
        <v>6</v>
      </c>
      <c r="C33" s="8" t="s">
        <v>7</v>
      </c>
      <c r="D33" s="8" t="s">
        <v>8</v>
      </c>
      <c r="E33" s="8" t="s">
        <v>9</v>
      </c>
      <c r="F33" s="9" t="s">
        <v>7</v>
      </c>
      <c r="G33" s="9" t="s">
        <v>8</v>
      </c>
      <c r="H33" s="9" t="s">
        <v>9</v>
      </c>
      <c r="I33" s="16" t="s">
        <v>7</v>
      </c>
      <c r="J33" s="16" t="s">
        <v>8</v>
      </c>
      <c r="K33" s="16" t="s">
        <v>9</v>
      </c>
      <c r="L33" s="7" t="s">
        <v>10</v>
      </c>
    </row>
    <row r="34" spans="1:12">
      <c r="A34" s="3" t="s">
        <v>312</v>
      </c>
      <c r="B34" s="10" t="s">
        <v>313</v>
      </c>
      <c r="C34" s="11">
        <v>0.33333333333333298</v>
      </c>
      <c r="D34" s="11">
        <v>0.5</v>
      </c>
      <c r="E34" s="11">
        <f t="shared" ref="E34:E41" si="21">IF(D34&gt;C34,D34-C34,C34-D34)</f>
        <v>0.16666666666666699</v>
      </c>
      <c r="F34" s="11">
        <v>0.58333333333333304</v>
      </c>
      <c r="G34" s="11">
        <v>0.75</v>
      </c>
      <c r="H34" s="11">
        <f>IF(G34&gt;F34,G34-F34,F34-G34)</f>
        <v>0.16666666666666699</v>
      </c>
      <c r="I34" s="17"/>
      <c r="J34" s="17"/>
      <c r="K34" s="11">
        <f>IF(J34&gt;I34,J34-I34,I34-J34)</f>
        <v>0</v>
      </c>
      <c r="L34" s="11">
        <f>E34+H34+K34</f>
        <v>0.33333333333333298</v>
      </c>
    </row>
    <row r="35" spans="1:12">
      <c r="A35" s="3" t="s">
        <v>314</v>
      </c>
      <c r="B35" s="10" t="s">
        <v>315</v>
      </c>
      <c r="C35" s="11">
        <v>0.33333333333333298</v>
      </c>
      <c r="D35" s="11">
        <v>0.5</v>
      </c>
      <c r="E35" s="11">
        <f t="shared" si="21"/>
        <v>0.16666666666666699</v>
      </c>
      <c r="F35" s="11">
        <v>0.54166666666666696</v>
      </c>
      <c r="G35" s="11">
        <v>0.70833333333333304</v>
      </c>
      <c r="H35" s="11">
        <f>IF(G35&gt;F35,G35-F35,F35-G35)</f>
        <v>0.16666666666666699</v>
      </c>
      <c r="I35" s="17"/>
      <c r="J35" s="17"/>
      <c r="K35" s="11">
        <f>IF(J35&gt;I35,J35-I35,I35-J35)</f>
        <v>0</v>
      </c>
      <c r="L35" s="11">
        <f>E35+H35+K35</f>
        <v>0.33333333333333298</v>
      </c>
    </row>
    <row r="36" spans="1:12">
      <c r="A36" s="3" t="s">
        <v>316</v>
      </c>
      <c r="B36" s="10" t="s">
        <v>317</v>
      </c>
      <c r="C36" s="11">
        <v>0.33333333333333298</v>
      </c>
      <c r="D36" s="11">
        <v>0.5</v>
      </c>
      <c r="E36" s="11">
        <f t="shared" si="21"/>
        <v>0.16666666666666699</v>
      </c>
      <c r="F36" s="11">
        <v>0.58333333333333304</v>
      </c>
      <c r="G36" s="11">
        <v>0.75</v>
      </c>
      <c r="H36" s="11">
        <f>IF(G36&gt;F36,G36-F36,F36-G36)</f>
        <v>0.16666666666666699</v>
      </c>
      <c r="I36" s="17"/>
      <c r="J36" s="17"/>
      <c r="K36" s="11">
        <f>IF(J36&gt;I36,J36-I36,I36-J36)</f>
        <v>0</v>
      </c>
      <c r="L36" s="11">
        <f t="shared" ref="L36:L41" si="22">E36+H36+K36</f>
        <v>0.33333333333333298</v>
      </c>
    </row>
    <row r="37" spans="1:12">
      <c r="A37" s="3" t="s">
        <v>318</v>
      </c>
      <c r="B37" s="10" t="s">
        <v>319</v>
      </c>
      <c r="C37" s="11">
        <v>0.33333333333333298</v>
      </c>
      <c r="D37" s="11">
        <v>0.5</v>
      </c>
      <c r="E37" s="11">
        <f t="shared" si="21"/>
        <v>0.16666666666666699</v>
      </c>
      <c r="F37" s="11">
        <v>0.54166666666666696</v>
      </c>
      <c r="G37" s="11">
        <v>0.70833333333333304</v>
      </c>
      <c r="H37" s="11">
        <f t="shared" ref="H37:H41" si="23">IF(G37&gt;F37,G37-F37,F37-G37)</f>
        <v>0.16666666666666699</v>
      </c>
      <c r="I37" s="17"/>
      <c r="J37" s="17"/>
      <c r="K37" s="11">
        <f t="shared" ref="K37" si="24">IF(J37&gt;I37,J37-I37,I37-J37)</f>
        <v>0</v>
      </c>
      <c r="L37" s="11">
        <f t="shared" si="22"/>
        <v>0.33333333333333298</v>
      </c>
    </row>
    <row r="38" spans="1:12">
      <c r="A38" s="3" t="s">
        <v>320</v>
      </c>
      <c r="B38" s="10" t="s">
        <v>321</v>
      </c>
      <c r="C38" s="11">
        <v>0.41666666666666702</v>
      </c>
      <c r="D38" s="11">
        <v>0.5</v>
      </c>
      <c r="E38" s="11">
        <f t="shared" si="21"/>
        <v>8.3333333333333301E-2</v>
      </c>
      <c r="F38" s="11">
        <v>0.54166666666666696</v>
      </c>
      <c r="G38" s="11">
        <v>0.75</v>
      </c>
      <c r="H38" s="11">
        <f t="shared" si="23"/>
        <v>0.20833333333333301</v>
      </c>
      <c r="I38" s="17"/>
      <c r="J38" s="17"/>
      <c r="K38" s="11">
        <f t="shared" ref="K38:K41" si="25">IF(J38&gt;I38,J38-I38,I38-J38)</f>
        <v>0</v>
      </c>
      <c r="L38" s="11">
        <f t="shared" si="22"/>
        <v>0.29166666666666702</v>
      </c>
    </row>
    <row r="39" spans="1:12">
      <c r="A39" s="3" t="s">
        <v>322</v>
      </c>
      <c r="B39" s="12" t="s">
        <v>323</v>
      </c>
      <c r="C39" s="11">
        <v>0.33333333333333298</v>
      </c>
      <c r="D39" s="11">
        <v>0.5</v>
      </c>
      <c r="E39" s="11">
        <f t="shared" si="21"/>
        <v>0.16666666666666699</v>
      </c>
      <c r="F39" s="11">
        <v>0.54166666666666696</v>
      </c>
      <c r="G39" s="11">
        <v>0.66666666666666696</v>
      </c>
      <c r="H39" s="11">
        <f t="shared" si="23"/>
        <v>0.125</v>
      </c>
      <c r="I39" s="17"/>
      <c r="J39" s="17"/>
      <c r="K39" s="11">
        <f t="shared" si="25"/>
        <v>0</v>
      </c>
      <c r="L39" s="11">
        <f t="shared" si="22"/>
        <v>0.29166666666666702</v>
      </c>
    </row>
    <row r="40" spans="1:12">
      <c r="A40" s="3" t="s">
        <v>324</v>
      </c>
      <c r="B40" s="12" t="s">
        <v>16</v>
      </c>
      <c r="C40" s="11">
        <v>0.25</v>
      </c>
      <c r="D40" s="11">
        <v>0.5</v>
      </c>
      <c r="E40" s="11">
        <f t="shared" si="21"/>
        <v>0.25</v>
      </c>
      <c r="F40" s="11">
        <v>0.52083333333333304</v>
      </c>
      <c r="G40" s="11">
        <v>0.58333333333333304</v>
      </c>
      <c r="H40" s="11">
        <f t="shared" si="23"/>
        <v>6.25E-2</v>
      </c>
      <c r="I40" s="11"/>
      <c r="J40" s="11"/>
      <c r="K40" s="11">
        <f t="shared" si="25"/>
        <v>0</v>
      </c>
      <c r="L40" s="11">
        <f t="shared" si="22"/>
        <v>0.3125</v>
      </c>
    </row>
    <row r="41" spans="1:12">
      <c r="A41" s="3" t="s">
        <v>325</v>
      </c>
      <c r="B41" s="13" t="s">
        <v>326</v>
      </c>
      <c r="C41" s="11">
        <v>0.25</v>
      </c>
      <c r="D41" s="11">
        <v>0.5</v>
      </c>
      <c r="E41" s="11">
        <f t="shared" si="21"/>
        <v>0.25</v>
      </c>
      <c r="F41" s="11">
        <v>0.52083333333333304</v>
      </c>
      <c r="G41" s="11">
        <v>0.75</v>
      </c>
      <c r="H41" s="11">
        <f t="shared" si="23"/>
        <v>0.22916666666666699</v>
      </c>
      <c r="I41" s="11"/>
      <c r="J41" s="11"/>
      <c r="K41" s="11">
        <f t="shared" si="25"/>
        <v>0</v>
      </c>
      <c r="L41" s="11">
        <f t="shared" si="22"/>
        <v>0.47916666666666702</v>
      </c>
    </row>
    <row r="42" spans="1:12" s="1" customFormat="1">
      <c r="A42" s="14"/>
      <c r="E42" s="15">
        <f>SUM(E34:E41)</f>
        <v>1.4166666666666701</v>
      </c>
      <c r="H42" s="15">
        <f>SUM(H34:H41)</f>
        <v>1.2916666666666701</v>
      </c>
      <c r="K42" s="15">
        <f>SUM(K34:K41)</f>
        <v>0</v>
      </c>
      <c r="L42" s="15">
        <f>SUM(L34:L41)</f>
        <v>2.7083333333333299</v>
      </c>
    </row>
    <row r="44" spans="1:12">
      <c r="C44" s="2" t="s">
        <v>311</v>
      </c>
      <c r="G44" s="5" t="s">
        <v>35</v>
      </c>
      <c r="H44" s="6">
        <f>+H31+1</f>
        <v>46247</v>
      </c>
    </row>
    <row r="45" spans="1:12">
      <c r="C45" s="168" t="s">
        <v>3</v>
      </c>
      <c r="D45" s="168"/>
      <c r="E45" s="168"/>
      <c r="F45" s="169" t="s">
        <v>4</v>
      </c>
      <c r="G45" s="169"/>
      <c r="H45" s="169"/>
      <c r="I45" s="170" t="s">
        <v>5</v>
      </c>
      <c r="J45" s="170"/>
      <c r="K45" s="170"/>
    </row>
    <row r="46" spans="1:12">
      <c r="B46" s="7" t="s">
        <v>6</v>
      </c>
      <c r="C46" s="8" t="s">
        <v>7</v>
      </c>
      <c r="D46" s="8" t="s">
        <v>8</v>
      </c>
      <c r="E46" s="8" t="s">
        <v>9</v>
      </c>
      <c r="F46" s="9" t="s">
        <v>7</v>
      </c>
      <c r="G46" s="9" t="s">
        <v>8</v>
      </c>
      <c r="H46" s="9" t="s">
        <v>9</v>
      </c>
      <c r="I46" s="16" t="s">
        <v>7</v>
      </c>
      <c r="J46" s="16" t="s">
        <v>8</v>
      </c>
      <c r="K46" s="16" t="s">
        <v>9</v>
      </c>
      <c r="L46" s="7" t="s">
        <v>10</v>
      </c>
    </row>
    <row r="47" spans="1:12">
      <c r="A47" s="3" t="s">
        <v>312</v>
      </c>
      <c r="B47" s="10" t="s">
        <v>313</v>
      </c>
      <c r="C47" s="11">
        <v>0.33333333333333298</v>
      </c>
      <c r="D47" s="11">
        <v>0.5</v>
      </c>
      <c r="E47" s="11">
        <f t="shared" ref="E47:E54" si="26">IF(D47&gt;C47,D47-C47,C47-D47)</f>
        <v>0.16666666666666699</v>
      </c>
      <c r="F47" s="11">
        <v>0.58333333333333304</v>
      </c>
      <c r="G47" s="11">
        <v>0.75</v>
      </c>
      <c r="H47" s="11">
        <f>IF(G47&gt;F47,G47-F47,F47-G47)</f>
        <v>0.16666666666666699</v>
      </c>
      <c r="I47" s="17"/>
      <c r="J47" s="17"/>
      <c r="K47" s="11">
        <f>IF(J47&gt;I47,J47-I47,I47-J47)</f>
        <v>0</v>
      </c>
      <c r="L47" s="11">
        <f>E47+H47+K47</f>
        <v>0.33333333333333298</v>
      </c>
    </row>
    <row r="48" spans="1:12">
      <c r="A48" s="3" t="s">
        <v>314</v>
      </c>
      <c r="B48" s="10" t="s">
        <v>315</v>
      </c>
      <c r="C48" s="11">
        <v>0.33333333333333298</v>
      </c>
      <c r="D48" s="11">
        <v>0.5</v>
      </c>
      <c r="E48" s="11">
        <f t="shared" si="26"/>
        <v>0.16666666666666699</v>
      </c>
      <c r="F48" s="11">
        <v>0.54166666666666696</v>
      </c>
      <c r="G48" s="11">
        <v>0.70833333333333304</v>
      </c>
      <c r="H48" s="11">
        <f>IF(G48&gt;F48,G48-F48,F48-G48)</f>
        <v>0.16666666666666699</v>
      </c>
      <c r="I48" s="17"/>
      <c r="J48" s="17"/>
      <c r="K48" s="11">
        <f>IF(J48&gt;I48,J48-I48,I48-J48)</f>
        <v>0</v>
      </c>
      <c r="L48" s="11">
        <f>E48+H48+K48</f>
        <v>0.33333333333333298</v>
      </c>
    </row>
    <row r="49" spans="1:12">
      <c r="A49" s="3" t="s">
        <v>316</v>
      </c>
      <c r="B49" s="10" t="s">
        <v>317</v>
      </c>
      <c r="C49" s="11">
        <v>0.33333333333333298</v>
      </c>
      <c r="D49" s="11">
        <v>0.5</v>
      </c>
      <c r="E49" s="11">
        <f t="shared" si="26"/>
        <v>0.16666666666666699</v>
      </c>
      <c r="F49" s="11">
        <v>0.58333333333333304</v>
      </c>
      <c r="G49" s="11">
        <v>0.75</v>
      </c>
      <c r="H49" s="11">
        <f>IF(G49&gt;F49,G49-F49,F49-G49)</f>
        <v>0.16666666666666699</v>
      </c>
      <c r="I49" s="17"/>
      <c r="J49" s="17"/>
      <c r="K49" s="11">
        <f>IF(J49&gt;I49,J49-I49,I49-J49)</f>
        <v>0</v>
      </c>
      <c r="L49" s="11">
        <f t="shared" ref="L49:L54" si="27">E49+H49+K49</f>
        <v>0.33333333333333298</v>
      </c>
    </row>
    <row r="50" spans="1:12">
      <c r="A50" s="3" t="s">
        <v>318</v>
      </c>
      <c r="B50" s="10" t="s">
        <v>319</v>
      </c>
      <c r="C50" s="11">
        <v>0.33333333333333298</v>
      </c>
      <c r="D50" s="11">
        <v>0.5</v>
      </c>
      <c r="E50" s="11">
        <f t="shared" si="26"/>
        <v>0.16666666666666699</v>
      </c>
      <c r="F50" s="11">
        <v>0.54166666666666696</v>
      </c>
      <c r="G50" s="11">
        <v>0.70833333333333304</v>
      </c>
      <c r="H50" s="11">
        <f t="shared" ref="H50:H54" si="28">IF(G50&gt;F50,G50-F50,F50-G50)</f>
        <v>0.16666666666666699</v>
      </c>
      <c r="I50" s="17"/>
      <c r="J50" s="17"/>
      <c r="K50" s="11">
        <f t="shared" ref="K50:K54" si="29">IF(J50&gt;I50,J50-I50,I50-J50)</f>
        <v>0</v>
      </c>
      <c r="L50" s="11">
        <f t="shared" si="27"/>
        <v>0.33333333333333298</v>
      </c>
    </row>
    <row r="51" spans="1:12">
      <c r="A51" s="3" t="s">
        <v>320</v>
      </c>
      <c r="B51" s="10" t="s">
        <v>321</v>
      </c>
      <c r="C51" s="11">
        <v>0.41666666666666702</v>
      </c>
      <c r="D51" s="11">
        <v>0.5</v>
      </c>
      <c r="E51" s="11">
        <f t="shared" si="26"/>
        <v>8.3333333333333301E-2</v>
      </c>
      <c r="F51" s="11">
        <v>0.54166666666666696</v>
      </c>
      <c r="G51" s="11">
        <v>0.75</v>
      </c>
      <c r="H51" s="11">
        <f t="shared" si="28"/>
        <v>0.20833333333333301</v>
      </c>
      <c r="I51" s="17"/>
      <c r="J51" s="17"/>
      <c r="K51" s="11">
        <f t="shared" si="29"/>
        <v>0</v>
      </c>
      <c r="L51" s="11">
        <f t="shared" si="27"/>
        <v>0.29166666666666702</v>
      </c>
    </row>
    <row r="52" spans="1:12">
      <c r="A52" s="3" t="s">
        <v>322</v>
      </c>
      <c r="B52" s="12" t="s">
        <v>323</v>
      </c>
      <c r="C52" s="11">
        <v>0.33333333333333298</v>
      </c>
      <c r="D52" s="11">
        <v>0.5</v>
      </c>
      <c r="E52" s="11">
        <f t="shared" si="26"/>
        <v>0.16666666666666699</v>
      </c>
      <c r="F52" s="11">
        <v>0.54166666666666696</v>
      </c>
      <c r="G52" s="11">
        <v>0.66666666666666696</v>
      </c>
      <c r="H52" s="11">
        <f t="shared" si="28"/>
        <v>0.125</v>
      </c>
      <c r="I52" s="17"/>
      <c r="J52" s="17"/>
      <c r="K52" s="11">
        <f t="shared" si="29"/>
        <v>0</v>
      </c>
      <c r="L52" s="11">
        <f t="shared" si="27"/>
        <v>0.29166666666666702</v>
      </c>
    </row>
    <row r="53" spans="1:12">
      <c r="A53" s="3" t="s">
        <v>324</v>
      </c>
      <c r="B53" s="12" t="s">
        <v>16</v>
      </c>
      <c r="C53" s="11">
        <v>0.25</v>
      </c>
      <c r="D53" s="11">
        <v>0.5</v>
      </c>
      <c r="E53" s="11">
        <f t="shared" si="26"/>
        <v>0.25</v>
      </c>
      <c r="F53" s="11">
        <v>0.52083333333333304</v>
      </c>
      <c r="G53" s="11">
        <v>0.75</v>
      </c>
      <c r="H53" s="11">
        <f t="shared" si="28"/>
        <v>0.22916666666666699</v>
      </c>
      <c r="I53" s="11"/>
      <c r="J53" s="11"/>
      <c r="K53" s="11">
        <f t="shared" si="29"/>
        <v>0</v>
      </c>
      <c r="L53" s="11">
        <f t="shared" si="27"/>
        <v>0.47916666666666702</v>
      </c>
    </row>
    <row r="54" spans="1:12">
      <c r="A54" s="3" t="s">
        <v>325</v>
      </c>
      <c r="B54" s="13" t="s">
        <v>326</v>
      </c>
      <c r="C54" s="11">
        <v>0.25</v>
      </c>
      <c r="D54" s="11">
        <v>0.5</v>
      </c>
      <c r="E54" s="11">
        <f t="shared" si="26"/>
        <v>0.25</v>
      </c>
      <c r="F54" s="11">
        <v>0.52083333333333304</v>
      </c>
      <c r="G54" s="11">
        <v>0.58333333333333304</v>
      </c>
      <c r="H54" s="11">
        <f t="shared" si="28"/>
        <v>6.25E-2</v>
      </c>
      <c r="I54" s="11"/>
      <c r="J54" s="11"/>
      <c r="K54" s="11">
        <f t="shared" si="29"/>
        <v>0</v>
      </c>
      <c r="L54" s="11">
        <f t="shared" si="27"/>
        <v>0.3125</v>
      </c>
    </row>
    <row r="55" spans="1:12" s="1" customFormat="1">
      <c r="A55" s="14"/>
      <c r="E55" s="15">
        <f>SUM(E47:E54)</f>
        <v>1.4166666666666701</v>
      </c>
      <c r="H55" s="15">
        <f>SUM(H47:H54)</f>
        <v>1.2916666666666701</v>
      </c>
      <c r="K55" s="15">
        <f>SUM(K47:K54)</f>
        <v>0</v>
      </c>
      <c r="L55" s="15">
        <f>SUM(L47:L54)</f>
        <v>2.7083333333333299</v>
      </c>
    </row>
    <row r="57" spans="1:12">
      <c r="C57" s="2" t="s">
        <v>311</v>
      </c>
      <c r="G57" s="5" t="s">
        <v>36</v>
      </c>
      <c r="H57" s="6">
        <f>+H44+1</f>
        <v>46248</v>
      </c>
    </row>
    <row r="58" spans="1:12">
      <c r="C58" s="168" t="s">
        <v>3</v>
      </c>
      <c r="D58" s="168"/>
      <c r="E58" s="168"/>
      <c r="F58" s="169" t="s">
        <v>4</v>
      </c>
      <c r="G58" s="169"/>
      <c r="H58" s="169"/>
      <c r="I58" s="170" t="s">
        <v>5</v>
      </c>
      <c r="J58" s="170"/>
      <c r="K58" s="170"/>
    </row>
    <row r="59" spans="1:12">
      <c r="B59" s="7" t="s">
        <v>6</v>
      </c>
      <c r="C59" s="8" t="s">
        <v>7</v>
      </c>
      <c r="D59" s="8" t="s">
        <v>8</v>
      </c>
      <c r="E59" s="8" t="s">
        <v>9</v>
      </c>
      <c r="F59" s="9" t="s">
        <v>7</v>
      </c>
      <c r="G59" s="9" t="s">
        <v>8</v>
      </c>
      <c r="H59" s="9" t="s">
        <v>9</v>
      </c>
      <c r="I59" s="16" t="s">
        <v>7</v>
      </c>
      <c r="J59" s="16" t="s">
        <v>8</v>
      </c>
      <c r="K59" s="16" t="s">
        <v>9</v>
      </c>
      <c r="L59" s="7" t="s">
        <v>10</v>
      </c>
    </row>
    <row r="60" spans="1:12">
      <c r="A60" s="3" t="s">
        <v>312</v>
      </c>
      <c r="B60" s="10" t="s">
        <v>313</v>
      </c>
      <c r="C60" s="11">
        <v>0.33333333333333298</v>
      </c>
      <c r="D60" s="11">
        <v>0.5</v>
      </c>
      <c r="E60" s="11">
        <f t="shared" ref="E60:E67" si="30">IF(D60&gt;C60,D60-C60,C60-D60)</f>
        <v>0.16666666666666699</v>
      </c>
      <c r="F60" s="11">
        <v>0.58333333333333304</v>
      </c>
      <c r="G60" s="11">
        <v>0.75</v>
      </c>
      <c r="H60" s="11">
        <f>IF(G60&gt;F60,G60-F60,F60-G60)</f>
        <v>0.16666666666666699</v>
      </c>
      <c r="I60" s="17"/>
      <c r="J60" s="17"/>
      <c r="K60" s="11">
        <f>IF(J60&gt;I60,J60-I60,I60-J60)</f>
        <v>0</v>
      </c>
      <c r="L60" s="11">
        <f>E60+H60+K60</f>
        <v>0.33333333333333298</v>
      </c>
    </row>
    <row r="61" spans="1:12">
      <c r="A61" s="3" t="s">
        <v>314</v>
      </c>
      <c r="B61" s="10" t="s">
        <v>315</v>
      </c>
      <c r="C61" s="11">
        <v>0.33333333333333298</v>
      </c>
      <c r="D61" s="11">
        <v>0.5</v>
      </c>
      <c r="E61" s="11">
        <f t="shared" si="30"/>
        <v>0.16666666666666699</v>
      </c>
      <c r="F61" s="11">
        <v>0.54166666666666696</v>
      </c>
      <c r="G61" s="11">
        <v>0.70833333333333304</v>
      </c>
      <c r="H61" s="11">
        <f>IF(G61&gt;F61,G61-F61,F61-G61)</f>
        <v>0.16666666666666699</v>
      </c>
      <c r="I61" s="17"/>
      <c r="J61" s="17"/>
      <c r="K61" s="11">
        <f>IF(J61&gt;I61,J61-I61,I61-J61)</f>
        <v>0</v>
      </c>
      <c r="L61" s="11">
        <f>E61+H61+K61</f>
        <v>0.33333333333333298</v>
      </c>
    </row>
    <row r="62" spans="1:12">
      <c r="A62" s="3" t="s">
        <v>316</v>
      </c>
      <c r="B62" s="10" t="s">
        <v>317</v>
      </c>
      <c r="C62" s="11">
        <v>0.33333333333333298</v>
      </c>
      <c r="D62" s="11">
        <v>0.5</v>
      </c>
      <c r="E62" s="11">
        <f t="shared" si="30"/>
        <v>0.16666666666666699</v>
      </c>
      <c r="F62" s="11">
        <v>0.58333333333333304</v>
      </c>
      <c r="G62" s="11">
        <v>0.75</v>
      </c>
      <c r="H62" s="11">
        <f>IF(G62&gt;F62,G62-F62,F62-G62)</f>
        <v>0.16666666666666699</v>
      </c>
      <c r="I62" s="17"/>
      <c r="J62" s="17"/>
      <c r="K62" s="11">
        <f>IF(J62&gt;I62,J62-I62,I62-J62)</f>
        <v>0</v>
      </c>
      <c r="L62" s="11">
        <f t="shared" ref="L62:L67" si="31">E62+H62+K62</f>
        <v>0.33333333333333298</v>
      </c>
    </row>
    <row r="63" spans="1:12">
      <c r="A63" s="3" t="s">
        <v>318</v>
      </c>
      <c r="B63" s="10" t="s">
        <v>319</v>
      </c>
      <c r="C63" s="11">
        <v>0.33333333333333298</v>
      </c>
      <c r="D63" s="11">
        <v>0.5</v>
      </c>
      <c r="E63" s="11">
        <f t="shared" si="30"/>
        <v>0.16666666666666699</v>
      </c>
      <c r="F63" s="11">
        <v>0.54166666666666696</v>
      </c>
      <c r="G63" s="11">
        <v>0.70833333333333304</v>
      </c>
      <c r="H63" s="11">
        <f t="shared" ref="H63:H67" si="32">IF(G63&gt;F63,G63-F63,F63-G63)</f>
        <v>0.16666666666666699</v>
      </c>
      <c r="I63" s="17"/>
      <c r="J63" s="17"/>
      <c r="K63" s="11">
        <f t="shared" ref="K63:K67" si="33">IF(J63&gt;I63,J63-I63,I63-J63)</f>
        <v>0</v>
      </c>
      <c r="L63" s="11">
        <f t="shared" si="31"/>
        <v>0.33333333333333298</v>
      </c>
    </row>
    <row r="64" spans="1:12">
      <c r="A64" s="3" t="s">
        <v>320</v>
      </c>
      <c r="B64" s="10" t="s">
        <v>321</v>
      </c>
      <c r="C64" s="11">
        <v>0.41666666666666702</v>
      </c>
      <c r="D64" s="11">
        <v>0.5</v>
      </c>
      <c r="E64" s="11">
        <f t="shared" si="30"/>
        <v>8.3333333333333301E-2</v>
      </c>
      <c r="F64" s="11">
        <v>0.54166666666666696</v>
      </c>
      <c r="G64" s="11">
        <v>0.75</v>
      </c>
      <c r="H64" s="11">
        <f t="shared" si="32"/>
        <v>0.20833333333333301</v>
      </c>
      <c r="I64" s="17"/>
      <c r="J64" s="17"/>
      <c r="K64" s="11">
        <f t="shared" si="33"/>
        <v>0</v>
      </c>
      <c r="L64" s="11">
        <f t="shared" si="31"/>
        <v>0.29166666666666702</v>
      </c>
    </row>
    <row r="65" spans="1:13">
      <c r="A65" s="3" t="s">
        <v>322</v>
      </c>
      <c r="B65" s="12" t="s">
        <v>323</v>
      </c>
      <c r="C65" s="11">
        <v>0.33333333333333298</v>
      </c>
      <c r="D65" s="11">
        <v>0.5</v>
      </c>
      <c r="E65" s="11">
        <f t="shared" si="30"/>
        <v>0.16666666666666699</v>
      </c>
      <c r="F65" s="11">
        <v>0.54166666666666696</v>
      </c>
      <c r="G65" s="11">
        <v>0.66666666666666696</v>
      </c>
      <c r="H65" s="11">
        <f t="shared" si="32"/>
        <v>0.125</v>
      </c>
      <c r="I65" s="17"/>
      <c r="J65" s="17"/>
      <c r="K65" s="11">
        <f t="shared" si="33"/>
        <v>0</v>
      </c>
      <c r="L65" s="11">
        <f t="shared" si="31"/>
        <v>0.29166666666666702</v>
      </c>
    </row>
    <row r="66" spans="1:13">
      <c r="A66" s="3" t="s">
        <v>324</v>
      </c>
      <c r="B66" s="12" t="s">
        <v>16</v>
      </c>
      <c r="C66" s="11">
        <v>0.25</v>
      </c>
      <c r="D66" s="11">
        <v>0.5</v>
      </c>
      <c r="E66" s="11">
        <f t="shared" si="30"/>
        <v>0.25</v>
      </c>
      <c r="F66" s="11">
        <v>0.52083333333333304</v>
      </c>
      <c r="G66" s="11">
        <v>0.58333333333333304</v>
      </c>
      <c r="H66" s="11">
        <f t="shared" si="32"/>
        <v>6.25E-2</v>
      </c>
      <c r="I66" s="11"/>
      <c r="J66" s="11"/>
      <c r="K66" s="11">
        <f t="shared" si="33"/>
        <v>0</v>
      </c>
      <c r="L66" s="11">
        <f t="shared" si="31"/>
        <v>0.3125</v>
      </c>
    </row>
    <row r="67" spans="1:13">
      <c r="A67" s="3" t="s">
        <v>325</v>
      </c>
      <c r="B67" s="13" t="s">
        <v>326</v>
      </c>
      <c r="C67" s="11">
        <v>0.25</v>
      </c>
      <c r="D67" s="11">
        <v>0.5</v>
      </c>
      <c r="E67" s="11">
        <f t="shared" si="30"/>
        <v>0.25</v>
      </c>
      <c r="F67" s="11">
        <v>0.52083333333333304</v>
      </c>
      <c r="G67" s="11">
        <v>0.75</v>
      </c>
      <c r="H67" s="11">
        <f t="shared" si="32"/>
        <v>0.22916666666666699</v>
      </c>
      <c r="I67" s="11"/>
      <c r="J67" s="11"/>
      <c r="K67" s="11">
        <f t="shared" si="33"/>
        <v>0</v>
      </c>
      <c r="L67" s="11">
        <f t="shared" si="31"/>
        <v>0.47916666666666702</v>
      </c>
    </row>
    <row r="68" spans="1:13" s="1" customFormat="1">
      <c r="A68" s="14"/>
      <c r="E68" s="15">
        <f>SUM(E60:E67)</f>
        <v>1.4166666666666701</v>
      </c>
      <c r="H68" s="15">
        <f>SUM(H60:H67)</f>
        <v>1.2916666666666701</v>
      </c>
      <c r="K68" s="15">
        <f>SUM(K60:K67)</f>
        <v>0</v>
      </c>
      <c r="L68" s="15">
        <f>SUM(L60:L67)</f>
        <v>2.7083333333333299</v>
      </c>
    </row>
    <row r="70" spans="1:13">
      <c r="C70" s="2" t="s">
        <v>311</v>
      </c>
      <c r="G70" s="5" t="s">
        <v>37</v>
      </c>
      <c r="H70" s="6">
        <f>+H57+1</f>
        <v>46249</v>
      </c>
    </row>
    <row r="71" spans="1:13">
      <c r="C71" s="168" t="s">
        <v>3</v>
      </c>
      <c r="D71" s="168"/>
      <c r="E71" s="168"/>
      <c r="F71" s="169" t="s">
        <v>4</v>
      </c>
      <c r="G71" s="169"/>
      <c r="H71" s="169"/>
      <c r="I71" s="170" t="s">
        <v>5</v>
      </c>
      <c r="J71" s="170"/>
      <c r="K71" s="170"/>
    </row>
    <row r="72" spans="1:13">
      <c r="B72" s="7" t="s">
        <v>6</v>
      </c>
      <c r="C72" s="8" t="s">
        <v>7</v>
      </c>
      <c r="D72" s="8" t="s">
        <v>8</v>
      </c>
      <c r="E72" s="8" t="s">
        <v>9</v>
      </c>
      <c r="F72" s="9" t="s">
        <v>7</v>
      </c>
      <c r="G72" s="9" t="s">
        <v>8</v>
      </c>
      <c r="H72" s="9" t="s">
        <v>9</v>
      </c>
      <c r="I72" s="16" t="s">
        <v>7</v>
      </c>
      <c r="J72" s="16" t="s">
        <v>8</v>
      </c>
      <c r="K72" s="16" t="s">
        <v>9</v>
      </c>
      <c r="L72" s="7" t="s">
        <v>10</v>
      </c>
    </row>
    <row r="73" spans="1:13">
      <c r="A73" s="3" t="s">
        <v>312</v>
      </c>
      <c r="B73" s="10" t="s">
        <v>313</v>
      </c>
      <c r="C73" s="11">
        <v>0.33333333333333298</v>
      </c>
      <c r="D73" s="11">
        <v>0.5</v>
      </c>
      <c r="E73" s="11">
        <f t="shared" ref="E73:E80" si="34">IF(D73&gt;C73,D73-C73,C73-D73)</f>
        <v>0.16666666666666699</v>
      </c>
      <c r="F73" s="11"/>
      <c r="G73" s="11"/>
      <c r="H73" s="11">
        <f>IF(G73&gt;F73,G73-F73,F73-G73)</f>
        <v>0</v>
      </c>
      <c r="I73" s="17"/>
      <c r="J73" s="17"/>
      <c r="K73" s="11">
        <f>IF(J73&gt;I73,J73-I73,I73-J73)</f>
        <v>0</v>
      </c>
      <c r="L73" s="11">
        <f>E73+H73+K73</f>
        <v>0.16666666666666699</v>
      </c>
    </row>
    <row r="74" spans="1:13">
      <c r="A74" s="3" t="s">
        <v>314</v>
      </c>
      <c r="B74" s="10" t="s">
        <v>315</v>
      </c>
      <c r="C74" s="19"/>
      <c r="D74" s="19"/>
      <c r="E74" s="19">
        <f t="shared" ref="E74:E75" si="35">IF(D74&gt;C74,D74-C74,C74-D74)</f>
        <v>0</v>
      </c>
      <c r="F74" s="19"/>
      <c r="G74" s="19"/>
      <c r="H74" s="19">
        <f t="shared" ref="H74:H75" si="36">IF(G74&gt;F74,G74-F74,F74-G74)</f>
        <v>0</v>
      </c>
      <c r="I74" s="22"/>
      <c r="J74" s="22"/>
      <c r="K74" s="19">
        <f t="shared" ref="K74:K75" si="37">IF(J74&gt;I74,J74-I74,I74-J74)</f>
        <v>0</v>
      </c>
      <c r="L74" s="11">
        <f>E74+H74+K74</f>
        <v>0</v>
      </c>
      <c r="M74" t="s">
        <v>25</v>
      </c>
    </row>
    <row r="75" spans="1:13">
      <c r="A75" s="3" t="s">
        <v>316</v>
      </c>
      <c r="B75" s="10" t="s">
        <v>317</v>
      </c>
      <c r="C75" s="11">
        <v>0.33333333333333298</v>
      </c>
      <c r="D75" s="11">
        <v>0.5</v>
      </c>
      <c r="E75" s="11">
        <f t="shared" si="35"/>
        <v>0.16666666666666699</v>
      </c>
      <c r="F75" s="11"/>
      <c r="G75" s="11"/>
      <c r="H75" s="11">
        <f t="shared" si="36"/>
        <v>0</v>
      </c>
      <c r="I75" s="17"/>
      <c r="J75" s="17"/>
      <c r="K75" s="11">
        <f t="shared" si="37"/>
        <v>0</v>
      </c>
      <c r="L75" s="11">
        <f t="shared" ref="L75:L80" si="38">E75+H75+K75</f>
        <v>0.16666666666666699</v>
      </c>
    </row>
    <row r="76" spans="1:13">
      <c r="A76" s="3" t="s">
        <v>318</v>
      </c>
      <c r="B76" s="10" t="s">
        <v>319</v>
      </c>
      <c r="C76" s="11">
        <v>0.33333333333333298</v>
      </c>
      <c r="D76" s="11">
        <v>0.5</v>
      </c>
      <c r="E76" s="11">
        <f t="shared" si="34"/>
        <v>0.16666666666666699</v>
      </c>
      <c r="F76" s="11"/>
      <c r="G76" s="11"/>
      <c r="H76" s="11">
        <f t="shared" ref="H76:H80" si="39">IF(G76&gt;F76,G76-F76,F76-G76)</f>
        <v>0</v>
      </c>
      <c r="I76" s="17"/>
      <c r="J76" s="17"/>
      <c r="K76" s="11">
        <f t="shared" ref="K76:K80" si="40">IF(J76&gt;I76,J76-I76,I76-J76)</f>
        <v>0</v>
      </c>
      <c r="L76" s="11">
        <f t="shared" si="38"/>
        <v>0.16666666666666699</v>
      </c>
    </row>
    <row r="77" spans="1:13">
      <c r="A77" s="3" t="s">
        <v>320</v>
      </c>
      <c r="B77" s="10" t="s">
        <v>321</v>
      </c>
      <c r="C77" s="19"/>
      <c r="D77" s="19"/>
      <c r="E77" s="19">
        <f t="shared" si="34"/>
        <v>0</v>
      </c>
      <c r="F77" s="19"/>
      <c r="G77" s="19"/>
      <c r="H77" s="19">
        <f t="shared" si="39"/>
        <v>0</v>
      </c>
      <c r="I77" s="22"/>
      <c r="J77" s="22"/>
      <c r="K77" s="19">
        <f t="shared" si="40"/>
        <v>0</v>
      </c>
      <c r="L77" s="11">
        <f t="shared" si="38"/>
        <v>0</v>
      </c>
      <c r="M77" t="s">
        <v>25</v>
      </c>
    </row>
    <row r="78" spans="1:13">
      <c r="A78" s="3" t="s">
        <v>322</v>
      </c>
      <c r="B78" s="12" t="s">
        <v>323</v>
      </c>
      <c r="C78" s="19"/>
      <c r="D78" s="19"/>
      <c r="E78" s="19">
        <f t="shared" si="34"/>
        <v>0</v>
      </c>
      <c r="F78" s="19"/>
      <c r="G78" s="19"/>
      <c r="H78" s="19">
        <f t="shared" si="39"/>
        <v>0</v>
      </c>
      <c r="I78" s="22"/>
      <c r="J78" s="22"/>
      <c r="K78" s="19">
        <f t="shared" si="40"/>
        <v>0</v>
      </c>
      <c r="L78" s="11">
        <f t="shared" si="38"/>
        <v>0</v>
      </c>
      <c r="M78" t="s">
        <v>25</v>
      </c>
    </row>
    <row r="79" spans="1:13">
      <c r="A79" s="3" t="s">
        <v>324</v>
      </c>
      <c r="B79" s="12" t="s">
        <v>16</v>
      </c>
      <c r="C79" s="11">
        <v>0.25</v>
      </c>
      <c r="D79" s="11">
        <v>0.5</v>
      </c>
      <c r="E79" s="11">
        <f t="shared" si="34"/>
        <v>0.25</v>
      </c>
      <c r="F79" s="11">
        <v>0.52083333333333304</v>
      </c>
      <c r="G79" s="11">
        <v>0.75</v>
      </c>
      <c r="H79" s="11">
        <f t="shared" si="39"/>
        <v>0.22916666666666699</v>
      </c>
      <c r="I79" s="11"/>
      <c r="J79" s="11"/>
      <c r="K79" s="11">
        <f t="shared" si="40"/>
        <v>0</v>
      </c>
      <c r="L79" s="11">
        <f t="shared" si="38"/>
        <v>0.47916666666666702</v>
      </c>
    </row>
    <row r="80" spans="1:13">
      <c r="A80" s="3" t="s">
        <v>325</v>
      </c>
      <c r="B80" s="13" t="s">
        <v>326</v>
      </c>
      <c r="C80" s="11">
        <v>0.25</v>
      </c>
      <c r="D80" s="11">
        <v>0.5</v>
      </c>
      <c r="E80" s="11">
        <f t="shared" si="34"/>
        <v>0.25</v>
      </c>
      <c r="F80" s="11">
        <v>0.52083333333333304</v>
      </c>
      <c r="G80" s="11">
        <v>0.58333333333333304</v>
      </c>
      <c r="H80" s="11">
        <f t="shared" si="39"/>
        <v>6.25E-2</v>
      </c>
      <c r="I80" s="11"/>
      <c r="J80" s="11"/>
      <c r="K80" s="11">
        <f t="shared" si="40"/>
        <v>0</v>
      </c>
      <c r="L80" s="11">
        <f t="shared" si="38"/>
        <v>0.3125</v>
      </c>
    </row>
    <row r="81" spans="1:13" s="1" customFormat="1">
      <c r="E81" s="15">
        <f>SUM(E73:E80)</f>
        <v>1</v>
      </c>
      <c r="H81" s="15">
        <f>SUM(H73:H80)</f>
        <v>0.29166666666666702</v>
      </c>
      <c r="K81" s="15">
        <f>SUM(K73:K80)</f>
        <v>0</v>
      </c>
      <c r="L81" s="15">
        <f>SUM(L73:L80)</f>
        <v>1.2916666666666701</v>
      </c>
    </row>
    <row r="82" spans="1:13" s="2" customFormat="1">
      <c r="A82" s="5"/>
      <c r="E82" s="20"/>
      <c r="H82" s="20"/>
      <c r="K82" s="20"/>
      <c r="L82" s="23"/>
    </row>
    <row r="83" spans="1:13">
      <c r="C83" s="2" t="s">
        <v>311</v>
      </c>
      <c r="G83" s="5" t="s">
        <v>38</v>
      </c>
      <c r="H83" s="6">
        <f>+H70+1</f>
        <v>46250</v>
      </c>
    </row>
    <row r="84" spans="1:13">
      <c r="C84" s="168" t="s">
        <v>3</v>
      </c>
      <c r="D84" s="168"/>
      <c r="E84" s="168"/>
      <c r="F84" s="169" t="s">
        <v>4</v>
      </c>
      <c r="G84" s="169"/>
      <c r="H84" s="169"/>
      <c r="I84" s="170" t="s">
        <v>5</v>
      </c>
      <c r="J84" s="170"/>
      <c r="K84" s="170"/>
    </row>
    <row r="85" spans="1:13">
      <c r="B85" s="7" t="s">
        <v>6</v>
      </c>
      <c r="C85" s="8" t="s">
        <v>7</v>
      </c>
      <c r="D85" s="8" t="s">
        <v>8</v>
      </c>
      <c r="E85" s="8" t="s">
        <v>9</v>
      </c>
      <c r="F85" s="9" t="s">
        <v>7</v>
      </c>
      <c r="G85" s="9" t="s">
        <v>8</v>
      </c>
      <c r="H85" s="9" t="s">
        <v>9</v>
      </c>
      <c r="I85" s="16" t="s">
        <v>7</v>
      </c>
      <c r="J85" s="16" t="s">
        <v>8</v>
      </c>
      <c r="K85" s="16" t="s">
        <v>9</v>
      </c>
      <c r="L85" s="7" t="s">
        <v>10</v>
      </c>
    </row>
    <row r="86" spans="1:13">
      <c r="A86" s="3" t="s">
        <v>312</v>
      </c>
      <c r="B86" s="10" t="s">
        <v>313</v>
      </c>
      <c r="C86" s="19"/>
      <c r="D86" s="19"/>
      <c r="E86" s="19">
        <f t="shared" ref="E86" si="41">IF(D86&gt;C86,D86-C86,C86-D86)</f>
        <v>0</v>
      </c>
      <c r="F86" s="19"/>
      <c r="G86" s="19"/>
      <c r="H86" s="19">
        <f>IF(G86&gt;F86,G86-F86,F86-G86)</f>
        <v>0</v>
      </c>
      <c r="I86" s="22"/>
      <c r="J86" s="22"/>
      <c r="K86" s="19">
        <f>IF(J86&gt;I86,J86-I86,I86-J86)</f>
        <v>0</v>
      </c>
      <c r="L86" s="11">
        <f>E86+H86+K86</f>
        <v>0</v>
      </c>
      <c r="M86" t="s">
        <v>25</v>
      </c>
    </row>
    <row r="87" spans="1:13">
      <c r="A87" s="3" t="s">
        <v>314</v>
      </c>
      <c r="B87" s="10" t="s">
        <v>315</v>
      </c>
      <c r="C87" s="19"/>
      <c r="D87" s="19"/>
      <c r="E87" s="19">
        <f t="shared" ref="E87:E91" si="42">IF(D87&gt;C87,D87-C87,C87-D87)</f>
        <v>0</v>
      </c>
      <c r="F87" s="19"/>
      <c r="G87" s="19"/>
      <c r="H87" s="19">
        <f>IF(G87&gt;F87,G87-F87,F87-G87)</f>
        <v>0</v>
      </c>
      <c r="I87" s="22"/>
      <c r="J87" s="22"/>
      <c r="K87" s="19">
        <f>IF(J87&gt;I87,J87-I87,I87-J87)</f>
        <v>0</v>
      </c>
      <c r="L87" s="11">
        <f>E87+H87+K87</f>
        <v>0</v>
      </c>
      <c r="M87" t="s">
        <v>25</v>
      </c>
    </row>
    <row r="88" spans="1:13">
      <c r="A88" s="3" t="s">
        <v>316</v>
      </c>
      <c r="B88" s="10" t="s">
        <v>317</v>
      </c>
      <c r="C88" s="19"/>
      <c r="D88" s="19"/>
      <c r="E88" s="19">
        <f t="shared" si="42"/>
        <v>0</v>
      </c>
      <c r="F88" s="19"/>
      <c r="G88" s="19"/>
      <c r="H88" s="19">
        <f>IF(G88&gt;F88,G88-F88,F88-G88)</f>
        <v>0</v>
      </c>
      <c r="I88" s="22"/>
      <c r="J88" s="22"/>
      <c r="K88" s="19">
        <f>IF(J88&gt;I88,J88-I88,I88-J88)</f>
        <v>0</v>
      </c>
      <c r="L88" s="11">
        <f t="shared" ref="L88:L93" si="43">E88+H88+K88</f>
        <v>0</v>
      </c>
      <c r="M88" t="s">
        <v>25</v>
      </c>
    </row>
    <row r="89" spans="1:13">
      <c r="A89" s="3" t="s">
        <v>318</v>
      </c>
      <c r="B89" s="10" t="s">
        <v>319</v>
      </c>
      <c r="C89" s="19"/>
      <c r="D89" s="19"/>
      <c r="E89" s="19">
        <f t="shared" si="42"/>
        <v>0</v>
      </c>
      <c r="F89" s="19"/>
      <c r="G89" s="19"/>
      <c r="H89" s="19">
        <f>IF(G89&gt;F89,G89-F89,F89-G89)</f>
        <v>0</v>
      </c>
      <c r="I89" s="22"/>
      <c r="J89" s="22"/>
      <c r="K89" s="19">
        <f>IF(J89&gt;I89,J89-I89,I89-J89)</f>
        <v>0</v>
      </c>
      <c r="L89" s="11">
        <f t="shared" si="43"/>
        <v>0</v>
      </c>
      <c r="M89" t="s">
        <v>25</v>
      </c>
    </row>
    <row r="90" spans="1:13">
      <c r="A90" s="3" t="s">
        <v>320</v>
      </c>
      <c r="B90" s="10" t="s">
        <v>321</v>
      </c>
      <c r="C90" s="11"/>
      <c r="D90" s="11"/>
      <c r="E90" s="11">
        <f t="shared" si="42"/>
        <v>0</v>
      </c>
      <c r="F90" s="11"/>
      <c r="G90" s="11"/>
      <c r="H90" s="11">
        <f t="shared" ref="H90:H93" si="44">IF(G90&gt;F90,G90-F90,F90-G90)</f>
        <v>0</v>
      </c>
      <c r="I90" s="17">
        <v>0.83333333333333304</v>
      </c>
      <c r="J90" s="17">
        <v>1</v>
      </c>
      <c r="K90" s="11">
        <f t="shared" ref="K90:K92" si="45">IF(J90&gt;I90,J90-I90,I90-J90)</f>
        <v>0.16666666666666699</v>
      </c>
      <c r="L90" s="11">
        <f t="shared" si="43"/>
        <v>0.16666666666666699</v>
      </c>
    </row>
    <row r="91" spans="1:13">
      <c r="A91" s="3" t="s">
        <v>322</v>
      </c>
      <c r="B91" s="12" t="s">
        <v>323</v>
      </c>
      <c r="C91" s="11"/>
      <c r="D91" s="11"/>
      <c r="E91" s="11">
        <f t="shared" si="42"/>
        <v>0</v>
      </c>
      <c r="F91" s="11"/>
      <c r="G91" s="11"/>
      <c r="H91" s="11">
        <f t="shared" si="44"/>
        <v>0</v>
      </c>
      <c r="I91" s="17">
        <v>0.83333333333333304</v>
      </c>
      <c r="J91" s="17">
        <v>1</v>
      </c>
      <c r="K91" s="11">
        <f t="shared" si="45"/>
        <v>0.16666666666666699</v>
      </c>
      <c r="L91" s="11">
        <f t="shared" si="43"/>
        <v>0.16666666666666699</v>
      </c>
    </row>
    <row r="92" spans="1:13">
      <c r="A92" s="3" t="s">
        <v>324</v>
      </c>
      <c r="B92" s="12" t="s">
        <v>16</v>
      </c>
      <c r="C92" s="19"/>
      <c r="D92" s="19"/>
      <c r="E92" s="19">
        <f t="shared" ref="E92" si="46">IF(D92&gt;C92,D92-C92,C92-D92)</f>
        <v>0</v>
      </c>
      <c r="F92" s="19"/>
      <c r="G92" s="19"/>
      <c r="H92" s="19">
        <f t="shared" si="44"/>
        <v>0</v>
      </c>
      <c r="I92" s="22"/>
      <c r="J92" s="22"/>
      <c r="K92" s="19">
        <f t="shared" si="45"/>
        <v>0</v>
      </c>
      <c r="L92" s="11">
        <f t="shared" ref="L92" si="47">E92+H92+K92</f>
        <v>0</v>
      </c>
      <c r="M92" t="s">
        <v>25</v>
      </c>
    </row>
    <row r="93" spans="1:13">
      <c r="A93" s="3" t="s">
        <v>325</v>
      </c>
      <c r="B93" s="13" t="s">
        <v>326</v>
      </c>
      <c r="C93" s="11">
        <v>0.25</v>
      </c>
      <c r="D93" s="11">
        <v>0.5</v>
      </c>
      <c r="E93" s="11">
        <f t="shared" ref="E93" si="48">IF(D93&gt;C93,D93-C93,C93-D93)</f>
        <v>0.25</v>
      </c>
      <c r="F93" s="11">
        <v>0.52083333333333304</v>
      </c>
      <c r="G93" s="11">
        <v>0.58333333333333304</v>
      </c>
      <c r="H93" s="11">
        <f t="shared" si="44"/>
        <v>6.25E-2</v>
      </c>
      <c r="I93" s="11"/>
      <c r="J93" s="11"/>
      <c r="K93" s="11">
        <f t="shared" ref="K93" si="49">IF(J93&gt;I93,J93-I93,I93-J93)</f>
        <v>0</v>
      </c>
      <c r="L93" s="11">
        <f t="shared" si="43"/>
        <v>0.3125</v>
      </c>
    </row>
    <row r="94" spans="1:13" s="1" customFormat="1">
      <c r="A94" s="14"/>
      <c r="E94" s="15">
        <f>SUM(E87:E93)</f>
        <v>0.25</v>
      </c>
      <c r="H94" s="15">
        <f>SUM(H87:H93)</f>
        <v>6.25E-2</v>
      </c>
      <c r="K94" s="15">
        <f>SUM(K87:K93)</f>
        <v>0.33333333333333298</v>
      </c>
      <c r="L94" s="15">
        <f>SUM(L87:L93)</f>
        <v>0.64583333333333304</v>
      </c>
    </row>
    <row r="98" spans="1:3">
      <c r="A98" s="3" t="s">
        <v>312</v>
      </c>
      <c r="B98" s="10" t="s">
        <v>313</v>
      </c>
      <c r="C98" s="21">
        <f t="shared" ref="C98:C105" si="50">+L8+L21+L34+L47+L60+L73+L86</f>
        <v>1.8333333333333299</v>
      </c>
    </row>
    <row r="99" spans="1:3">
      <c r="A99" s="3" t="s">
        <v>314</v>
      </c>
      <c r="B99" s="10" t="s">
        <v>315</v>
      </c>
      <c r="C99" s="21">
        <f t="shared" si="50"/>
        <v>1.6666666666666701</v>
      </c>
    </row>
    <row r="100" spans="1:3">
      <c r="A100" s="3" t="s">
        <v>316</v>
      </c>
      <c r="B100" s="10" t="s">
        <v>317</v>
      </c>
      <c r="C100" s="21">
        <f t="shared" si="50"/>
        <v>1.8333333333333299</v>
      </c>
    </row>
    <row r="101" spans="1:3">
      <c r="A101" s="3" t="s">
        <v>318</v>
      </c>
      <c r="B101" s="10" t="s">
        <v>319</v>
      </c>
      <c r="C101" s="21">
        <f t="shared" si="50"/>
        <v>1.8541666666666701</v>
      </c>
    </row>
    <row r="102" spans="1:3">
      <c r="A102" s="3" t="s">
        <v>320</v>
      </c>
      <c r="B102" s="10" t="s">
        <v>321</v>
      </c>
      <c r="C102" s="21">
        <f t="shared" si="50"/>
        <v>1.6458333333333299</v>
      </c>
    </row>
    <row r="103" spans="1:3">
      <c r="A103" s="3" t="s">
        <v>322</v>
      </c>
      <c r="B103" s="12" t="s">
        <v>323</v>
      </c>
      <c r="C103" s="21">
        <f t="shared" si="50"/>
        <v>1.6458333333333299</v>
      </c>
    </row>
    <row r="104" spans="1:3">
      <c r="A104" s="3" t="s">
        <v>324</v>
      </c>
      <c r="B104" s="12" t="s">
        <v>16</v>
      </c>
      <c r="C104" s="21">
        <f t="shared" si="50"/>
        <v>2.375</v>
      </c>
    </row>
    <row r="105" spans="1:3">
      <c r="A105" s="3" t="s">
        <v>325</v>
      </c>
      <c r="B105" s="13" t="s">
        <v>326</v>
      </c>
      <c r="C105" s="21">
        <f t="shared" si="50"/>
        <v>2.6875</v>
      </c>
    </row>
  </sheetData>
  <mergeCells count="22">
    <mergeCell ref="C6:E6"/>
    <mergeCell ref="F6:H6"/>
    <mergeCell ref="I6:K6"/>
    <mergeCell ref="C19:E19"/>
    <mergeCell ref="F19:H19"/>
    <mergeCell ref="I19:K19"/>
    <mergeCell ref="C84:E84"/>
    <mergeCell ref="F84:H84"/>
    <mergeCell ref="I84:K84"/>
    <mergeCell ref="E2:I3"/>
    <mergeCell ref="C58:E58"/>
    <mergeCell ref="F58:H58"/>
    <mergeCell ref="I58:K58"/>
    <mergeCell ref="C71:E71"/>
    <mergeCell ref="F71:H71"/>
    <mergeCell ref="I71:K71"/>
    <mergeCell ref="C32:E32"/>
    <mergeCell ref="F32:H32"/>
    <mergeCell ref="I32:K32"/>
    <mergeCell ref="C45:E45"/>
    <mergeCell ref="F45:H45"/>
    <mergeCell ref="I45:K45"/>
  </mergeCells>
  <pageMargins left="0.7" right="0.7" top="0.75" bottom="0.28999999999999998" header="0.3" footer="0.3"/>
  <pageSetup paperSize="9" fitToHeight="0" orientation="landscape" verticalDpi="12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14</vt:i4>
      </vt:variant>
    </vt:vector>
  </HeadingPairs>
  <TitlesOfParts>
    <vt:vector size="39" baseType="lpstr">
      <vt:lpstr>CUISINE SNACK</vt:lpstr>
      <vt:lpstr>SALLE SNACK</vt:lpstr>
      <vt:lpstr>PATISS-PIZZA</vt:lpstr>
      <vt:lpstr>CUISINE CANTINE</vt:lpstr>
      <vt:lpstr>CUISINE DETENTE</vt:lpstr>
      <vt:lpstr>SALLE DETENTE</vt:lpstr>
      <vt:lpstr>CUISINE RESTO</vt:lpstr>
      <vt:lpstr>PLONGE</vt:lpstr>
      <vt:lpstr>SALLE RESTO</vt:lpstr>
      <vt:lpstr>STOCKISTE</vt:lpstr>
      <vt:lpstr>RESPONSABLE ESPACE COMMUN</vt:lpstr>
      <vt:lpstr>COMMUNICATION-MAJ</vt:lpstr>
      <vt:lpstr>RECEPTION</vt:lpstr>
      <vt:lpstr>GOUVERNANTE</vt:lpstr>
      <vt:lpstr>PISCINE</vt:lpstr>
      <vt:lpstr>SERVICE ETAGE</vt:lpstr>
      <vt:lpstr>LESSIVEUSE</vt:lpstr>
      <vt:lpstr>MARCHE ET NETTOYAGE CANTINE</vt:lpstr>
      <vt:lpstr>NETTOYEUR</vt:lpstr>
      <vt:lpstr>JARDINIER</vt:lpstr>
      <vt:lpstr>CHAUFFEUR</vt:lpstr>
      <vt:lpstr>MAINTENANCE</vt:lpstr>
      <vt:lpstr>SECURITE</vt:lpstr>
      <vt:lpstr>ADMINISTRATION</vt:lpstr>
      <vt:lpstr>Feuille25</vt:lpstr>
      <vt:lpstr>ADMINISTRATION!Print_Area</vt:lpstr>
      <vt:lpstr>CHAUFFEUR!Print_Area</vt:lpstr>
      <vt:lpstr>'COMMUNICATION-MAJ'!Print_Area</vt:lpstr>
      <vt:lpstr>GOUVERNANTE!Print_Area</vt:lpstr>
      <vt:lpstr>JARDINIER!Print_Area</vt:lpstr>
      <vt:lpstr>LESSIVEUSE!Print_Area</vt:lpstr>
      <vt:lpstr>MAINTENANCE!Print_Area</vt:lpstr>
      <vt:lpstr>'MARCHE ET NETTOYAGE CANTINE'!Print_Area</vt:lpstr>
      <vt:lpstr>NETTOYEUR!Print_Area</vt:lpstr>
      <vt:lpstr>PISCINE!Print_Area</vt:lpstr>
      <vt:lpstr>RECEPTION!Print_Area</vt:lpstr>
      <vt:lpstr>'RESPONSABLE ESPACE COMMUN'!Print_Area</vt:lpstr>
      <vt:lpstr>SECURITE!Print_Area</vt:lpstr>
      <vt:lpstr>'SERVICE ETAGE'!Print_Area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felantsoa rahonirinarilala</cp:lastModifiedBy>
  <dcterms:created xsi:type="dcterms:W3CDTF">2006-09-16T00:00:00Z</dcterms:created>
  <dcterms:modified xsi:type="dcterms:W3CDTF">2026-09-11T14:06:19Z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7F2BB634B8E241DAA63CA342816890A7_12</vt:lpwstr>
  </property>
  <property fmtid="{D5CDD505-2E9C-101B-9397-08002B2CF9AE}" pid="3" name="KSOProductBuildVer">
    <vt:lpwstr>3084-12.2.0.23206</vt:lpwstr>
  </property>
</Properties>
</file>